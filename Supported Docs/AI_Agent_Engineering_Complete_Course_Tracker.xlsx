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E55C231B-CE05-4662-9E0E-D03D9DBC2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 Roadmap" sheetId="1" r:id="rId1"/>
    <sheet name="Dashboard" sheetId="2" r:id="rId2"/>
    <sheet name="Prompt Bank" sheetId="3" r:id="rId3"/>
    <sheet name="Interview Matrix" sheetId="4" r:id="rId4"/>
    <sheet name="Capstone" sheetId="5" r:id="rId5"/>
    <sheet name="Final Outcome" sheetId="6" r:id="rId6"/>
    <sheet name="18 Week Plan" sheetId="7" r:id="rId7"/>
  </sheets>
  <definedNames>
    <definedName name="_xlnm._FilterDatabase" localSheetId="0" hidden="1">'Course Roadmap'!$A$1:$P$113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2" l="1"/>
  <c r="B29" i="2"/>
  <c r="C28" i="2"/>
  <c r="B28" i="2"/>
  <c r="C27" i="2"/>
  <c r="D27" i="2" s="1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D15" i="2" s="1"/>
  <c r="B15" i="2"/>
  <c r="C14" i="2"/>
  <c r="B14" i="2"/>
  <c r="B8" i="2"/>
  <c r="B6" i="2"/>
  <c r="B5" i="2"/>
  <c r="B4" i="2"/>
  <c r="B3" i="2"/>
  <c r="D24" i="2" l="1"/>
  <c r="D20" i="2"/>
  <c r="D26" i="2"/>
  <c r="D21" i="2"/>
  <c r="D19" i="2"/>
  <c r="D23" i="2"/>
  <c r="D18" i="2"/>
  <c r="D25" i="2"/>
  <c r="D16" i="2"/>
  <c r="D22" i="2"/>
  <c r="D28" i="2"/>
  <c r="B7" i="2"/>
  <c r="D14" i="2"/>
  <c r="D17" i="2"/>
  <c r="D29" i="2"/>
</calcChain>
</file>

<file path=xl/sharedStrings.xml><?xml version="1.0" encoding="utf-8"?>
<sst xmlns="http://schemas.openxmlformats.org/spreadsheetml/2006/main" count="1642" uniqueCount="1057">
  <si>
    <t>AI Agent Engineering — Progress Dashboard</t>
  </si>
  <si>
    <t>Total Topics</t>
  </si>
  <si>
    <t>Completed</t>
  </si>
  <si>
    <t>In Progress</t>
  </si>
  <si>
    <t>Review</t>
  </si>
  <si>
    <t>Overall Completion</t>
  </si>
  <si>
    <t>Average Confidence</t>
  </si>
  <si>
    <t>Target Outcome</t>
  </si>
  <si>
    <t>Strong AI Engineer / FDE / Solution Architect interview readiness with a working agentic AI portfolio.</t>
  </si>
  <si>
    <t>Phase</t>
  </si>
  <si>
    <t>Total</t>
  </si>
  <si>
    <t>Done</t>
  </si>
  <si>
    <t>Completion</t>
  </si>
  <si>
    <t>Phase 1</t>
  </si>
  <si>
    <t>Phase 2</t>
  </si>
  <si>
    <t>Phase 3</t>
  </si>
  <si>
    <t>Phase 4</t>
  </si>
  <si>
    <t>Phase 5</t>
  </si>
  <si>
    <t>Phase 6</t>
  </si>
  <si>
    <t>Phase 7</t>
  </si>
  <si>
    <t>Phase 8</t>
  </si>
  <si>
    <t>Phase 9</t>
  </si>
  <si>
    <t>Phase 10</t>
  </si>
  <si>
    <t>Phase 11</t>
  </si>
  <si>
    <t>Phase 12</t>
  </si>
  <si>
    <t>Phase 13</t>
  </si>
  <si>
    <t>Phase 14</t>
  </si>
  <si>
    <t>Phase 15</t>
  </si>
  <si>
    <t>Phase 16</t>
  </si>
  <si>
    <t>ID</t>
  </si>
  <si>
    <t>Module</t>
  </si>
  <si>
    <t>Topic</t>
  </si>
  <si>
    <t>Priority</t>
  </si>
  <si>
    <t>Level</t>
  </si>
  <si>
    <t>Overview Prompt</t>
  </si>
  <si>
    <t>Detailed Prompt Template</t>
  </si>
  <si>
    <t>Hands-on Task</t>
  </si>
  <si>
    <t>Deliverable / Evidence</t>
  </si>
  <si>
    <t>Interview Skills</t>
  </si>
  <si>
    <t>Status</t>
  </si>
  <si>
    <t>Confidence (1-5)</t>
  </si>
  <si>
    <t>Hours Est.</t>
  </si>
  <si>
    <t>Target Week</t>
  </si>
  <si>
    <t>Notes</t>
  </si>
  <si>
    <t>P001</t>
  </si>
  <si>
    <t>Python Foundations</t>
  </si>
  <si>
    <t>Python syntax, variables, types and control flow</t>
  </si>
  <si>
    <t>High</t>
  </si>
  <si>
    <t>Foundation</t>
  </si>
  <si>
    <t>Teach me Python syntax, variables, types and control flow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</si>
  <si>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Python syntax, variables, types and control flow.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</si>
  <si>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Python syntax, variables, types and control flow in the AI-Learning-Agents repository and test it.</t>
  </si>
  <si>
    <t>Working code/demo + tests/notes + a clear interview explanation of Python syntax, variables, types and control flow.</t>
  </si>
  <si>
    <t>Explain Python syntax, variables, types and control flow, why it is used, alternatives, trade-offs, failure modes and how you implemented/would implement it.</t>
  </si>
  <si>
    <t>Not Started</t>
  </si>
  <si>
    <t>P002</t>
  </si>
  <si>
    <t>Functions, parameters, return values and scope</t>
  </si>
  <si>
    <t>Teach me Functions, parameters, return values and scope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</si>
  <si>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Functions, parameters, return values and scope.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</si>
  <si>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Functions, parameters, return values and scope in the AI-Learning-Agents repository and test it.</t>
  </si>
  <si>
    <t>Working code/demo + tests/notes + a clear interview explanation of Functions, parameters, return values and scope.</t>
  </si>
  <si>
    <t>Explain Functions, parameters, return values and scope, why it is used, alternatives, trade-offs, failure modes and how you implemented/would implement it.</t>
  </si>
  <si>
    <t>P003</t>
  </si>
  <si>
    <t>Collections and comprehensions</t>
  </si>
  <si>
    <t>Teach me Collections and comprehensions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</si>
  <si>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Collections and comprehensions.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</si>
  <si>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Collections and comprehensions in the AI-Learning-Agents repository and test it.</t>
  </si>
  <si>
    <t>Working code/demo + tests/notes + a clear interview explanation of Collections and comprehensions.</t>
  </si>
  <si>
    <t>Explain Collections and comprehensions, why it is used, alternatives, trade-offs, failure modes and how you implemented/would implement it.</t>
  </si>
  <si>
    <t>P004</t>
  </si>
  <si>
    <t>Exceptions and defensive coding</t>
  </si>
  <si>
    <t>Teach me Exceptions and defensive coding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</si>
  <si>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Exceptions and defensive coding.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</si>
  <si>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Exceptions and defensive coding in the AI-Learning-Agents repository and test it.</t>
  </si>
  <si>
    <t>Working code/demo + tests/notes + a clear interview explanation of Exceptions and defensive coding.</t>
  </si>
  <si>
    <t>Explain Exceptions and defensive coding, why it is used, alternatives, trade-offs, failure modes and how you implemented/would implement it.</t>
  </si>
  <si>
    <t>P005</t>
  </si>
  <si>
    <t>Modules, packages and imports</t>
  </si>
  <si>
    <t>Teach me Modules, packages and imports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</si>
  <si>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Modules, packages and imports.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</si>
  <si>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Modules, packages and imports in the AI-Learning-Agents repository and test it.</t>
  </si>
  <si>
    <t>Working code/demo + tests/notes + a clear interview explanation of Modules, packages and imports.</t>
  </si>
  <si>
    <t>Explain Modules, packages and imports, why it is used, alternatives, trade-offs, failure modes and how you implemented/would implement it.</t>
  </si>
  <si>
    <t>P006</t>
  </si>
  <si>
    <t>Virtual environments and dependency management</t>
  </si>
  <si>
    <t>Teach me Virtual environments and dependency management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</si>
  <si>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Virtual environments and dependency management.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</si>
  <si>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Virtual environments and dependency management in the AI-Learning-Agents repository and test it.</t>
  </si>
  <si>
    <t>Working code/demo + tests/notes + a clear interview explanation of Virtual environments and dependency management.</t>
  </si>
  <si>
    <t>Explain Virtual environments and dependency management, why it is used, alternatives, trade-offs, failure modes and how you implemented/would implement it.</t>
  </si>
  <si>
    <t>P007</t>
  </si>
  <si>
    <t>Type hints, dataclasses and Pydantic</t>
  </si>
  <si>
    <t>Teach me Type hints, dataclasses and Pydantic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</si>
  <si>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Type hints, dataclasses and Pydantic.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</si>
  <si>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Type hints, dataclasses and Pydantic in the AI-Learning-Agents repository and test it.</t>
  </si>
  <si>
    <t>Working code/demo + tests/notes + a clear interview explanation of Type hints, dataclasses and Pydantic.</t>
  </si>
  <si>
    <t>Explain Type hints, dataclasses and Pydantic, why it is used, alternatives, trade-offs, failure modes and how you implemented/would implement it.</t>
  </si>
  <si>
    <t>P008</t>
  </si>
  <si>
    <t>Logging, configuration and environment variables</t>
  </si>
  <si>
    <t>Teach me Logging, configuration and environment variables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</si>
  <si>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Logging, configuration and environment variables.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</si>
  <si>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Logging, configuration and environment variables in the AI-Learning-Agents repository and test it.</t>
  </si>
  <si>
    <t>Working code/demo + tests/notes + a clear interview explanation of Logging, configuration and environment variables.</t>
  </si>
  <si>
    <t>Explain Logging, configuration and environment variables, why it is used, alternatives, trade-offs, failure modes and how you implemented/would implement it.</t>
  </si>
  <si>
    <t>P009</t>
  </si>
  <si>
    <t>Unit testing with pytest</t>
  </si>
  <si>
    <t>Teach me Unit testing with pytest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</si>
  <si>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Unit testing with pytest.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</si>
  <si>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Unit testing with pytest in the AI-Learning-Agents repository and test it.</t>
  </si>
  <si>
    <t>Working code/demo + tests/notes + a clear interview explanation of Unit testing with pytest.</t>
  </si>
  <si>
    <t>Explain Unit testing with pytest, why it is used, alternatives, trade-offs, failure modes and how you implemented/would implement it.</t>
  </si>
  <si>
    <t>P010</t>
  </si>
  <si>
    <t>Python debugging with VS Code/debugpy</t>
  </si>
  <si>
    <t>Teach me Python debugging with VS Code/debugpy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</si>
  <si>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Python debugging with VS Code/debugpy.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</si>
  <si>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Python debugging with VS Code/debugpy in the AI-Learning-Agents repository and test it.</t>
  </si>
  <si>
    <t>Working code/demo + tests/notes + a clear interview explanation of Python debugging with VS Code/debugpy.</t>
  </si>
  <si>
    <t>Explain Python debugging with VS Code/debugpy, why it is used, alternatives, trade-offs, failure modes and how you implemented/would implement it.</t>
  </si>
  <si>
    <t>P011</t>
  </si>
  <si>
    <t>FastAPI</t>
  </si>
  <si>
    <t>Application structure and routing</t>
  </si>
  <si>
    <t>Intermediate</t>
  </si>
  <si>
    <t>Teach me Application structure and routing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</si>
  <si>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Application structure and routing.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</si>
  <si>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Application structure and routing in the AI-Learning-Agents repository and test it.</t>
  </si>
  <si>
    <t>Working code/demo + tests/notes + a clear interview explanation of Application structure and routing.</t>
  </si>
  <si>
    <t>Explain Application structure and routing, why it is used, alternatives, trade-offs, failure modes and how you implemented/would implement it.</t>
  </si>
  <si>
    <t>P012</t>
  </si>
  <si>
    <t>Request validation and Pydantic models</t>
  </si>
  <si>
    <t>Teach me Request validation and Pydantic models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</si>
  <si>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Request validation and Pydantic models.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</si>
  <si>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Request validation and Pydantic models in the AI-Learning-Agents repository and test it.</t>
  </si>
  <si>
    <t>Working code/demo + tests/notes + a clear interview explanation of Request validation and Pydantic models.</t>
  </si>
  <si>
    <t>Explain Request validation and Pydantic models, why it is used, alternatives, trade-offs, failure modes and how you implemented/would implement it.</t>
  </si>
  <si>
    <t>P013</t>
  </si>
  <si>
    <t>Dependency injection</t>
  </si>
  <si>
    <t>Teach me Dependency injection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</si>
  <si>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Dependency injection.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</si>
  <si>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Dependency injection in the AI-Learning-Agents repository and test it.</t>
  </si>
  <si>
    <t>Working code/demo + tests/notes + a clear interview explanation of Dependency injection.</t>
  </si>
  <si>
    <t>Explain Dependency injection, why it is used, alternatives, trade-offs, failure modes and how you implemented/would implement it.</t>
  </si>
  <si>
    <t>P014</t>
  </si>
  <si>
    <t>Middleware, CORS and error handling</t>
  </si>
  <si>
    <t>Teach me Middleware, CORS and error handling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</si>
  <si>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Middleware, CORS and error handling.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</si>
  <si>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Middleware, CORS and error handling in the AI-Learning-Agents repository and test it.</t>
  </si>
  <si>
    <t>Working code/demo + tests/notes + a clear interview explanation of Middleware, CORS and error handling.</t>
  </si>
  <si>
    <t>Explain Middleware, CORS and error handling, why it is used, alternatives, trade-offs, failure modes and how you implemented/would implement it.</t>
  </si>
  <si>
    <t>P015</t>
  </si>
  <si>
    <t>Async/await and concurrency</t>
  </si>
  <si>
    <t>Teach me Async/await and concurrency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</si>
  <si>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Async/await and concurrency.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</si>
  <si>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Async/await and concurrency in the AI-Learning-Agents repository and test it.</t>
  </si>
  <si>
    <t>Working code/demo + tests/notes + a clear interview explanation of Async/await and concurrency.</t>
  </si>
  <si>
    <t>Explain Async/await and concurrency, why it is used, alternatives, trade-offs, failure modes and how you implemented/would implement it.</t>
  </si>
  <si>
    <t>P016</t>
  </si>
  <si>
    <t>API testing and Swagger/OpenAPI</t>
  </si>
  <si>
    <t>Teach me API testing and Swagger/OpenAPI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</si>
  <si>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API testing and Swagger/OpenAPI.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</si>
  <si>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API testing and Swagger/OpenAPI in the AI-Learning-Agents repository and test it.</t>
  </si>
  <si>
    <t>Working code/demo + tests/notes + a clear interview explanation of API testing and Swagger/OpenAPI.</t>
  </si>
  <si>
    <t>Explain API testing and Swagger/OpenAPI, why it is used, alternatives, trade-offs, failure modes and how you implemented/would implement it.</t>
  </si>
  <si>
    <t>P017</t>
  </si>
  <si>
    <t>LLM Fundamentals</t>
  </si>
  <si>
    <t>LLM architecture: tokens, context and inference</t>
  </si>
  <si>
    <t>Teach me LLM architecture: tokens, context and inference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</si>
  <si>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LLM architecture: tokens, context and inference.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</si>
  <si>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LLM architecture: tokens, context and inference in the AI-Learning-Agents repository and test it.</t>
  </si>
  <si>
    <t>Working code/demo + tests/notes + a clear interview explanation of LLM architecture: tokens, context and inference.</t>
  </si>
  <si>
    <t>Explain LLM architecture: tokens, context and inference, why it is used, alternatives, trade-offs, failure modes and how you implemented/would implement it.</t>
  </si>
  <si>
    <t>P018</t>
  </si>
  <si>
    <t>Prompt engineering</t>
  </si>
  <si>
    <t>Teach me Prompt engineering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</si>
  <si>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Prompt engineering.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</si>
  <si>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Prompt engineering in the AI-Learning-Agents repository and test it.</t>
  </si>
  <si>
    <t>Working code/demo + tests/notes + a clear interview explanation of Prompt engineering.</t>
  </si>
  <si>
    <t>Explain Prompt engineering, why it is used, alternatives, trade-offs, failure modes and how you implemented/would implement it.</t>
  </si>
  <si>
    <t>P019</t>
  </si>
  <si>
    <t>System/user/tool message roles</t>
  </si>
  <si>
    <t>Teach me System/user/tool message roles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</si>
  <si>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System/user/tool message roles.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</si>
  <si>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System/user/tool message roles in the AI-Learning-Agents repository and test it.</t>
  </si>
  <si>
    <t>Working code/demo + tests/notes + a clear interview explanation of System/user/tool message roles.</t>
  </si>
  <si>
    <t>Explain System/user/tool message roles, why it is used, alternatives, trade-offs, failure modes and how you implemented/would implement it.</t>
  </si>
  <si>
    <t>P020</t>
  </si>
  <si>
    <t>Structured output and response control</t>
  </si>
  <si>
    <t>Teach me Structured output and response control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</si>
  <si>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Structured output and response control.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</si>
  <si>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Structured output and response control in the AI-Learning-Agents repository and test it.</t>
  </si>
  <si>
    <t>Working code/demo + tests/notes + a clear interview explanation of Structured output and response control.</t>
  </si>
  <si>
    <t>Explain Structured output and response control, why it is used, alternatives, trade-offs, failure modes and how you implemented/would implement it.</t>
  </si>
  <si>
    <t>P021</t>
  </si>
  <si>
    <t>Model selection: quality, latency, cost and context</t>
  </si>
  <si>
    <t>Teach me Model selection: quality, latency, cost and context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</si>
  <si>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Model selection: quality, latency, cost and context.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</si>
  <si>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Model selection: quality, latency, cost and context in the AI-Learning-Agents repository and test it.</t>
  </si>
  <si>
    <t>Working code/demo + tests/notes + a clear interview explanation of Model selection: quality, latency, cost and context.</t>
  </si>
  <si>
    <t>Explain Model selection: quality, latency, cost and context, why it is used, alternatives, trade-offs, failure modes and how you implemented/would implement it.</t>
  </si>
  <si>
    <t>P022</t>
  </si>
  <si>
    <t>LLM security: prompt injection and data leakage</t>
  </si>
  <si>
    <t>Teach me LLM security: prompt injection and data leakage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</si>
  <si>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LLM security: prompt injection and data leakage.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</si>
  <si>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LLM security: prompt injection and data leakage in the AI-Learning-Agents repository and test it.</t>
  </si>
  <si>
    <t>Working code/demo + tests/notes + a clear interview explanation of LLM security: prompt injection and data leakage.</t>
  </si>
  <si>
    <t>Explain LLM security: prompt injection and data leakage, why it is used, alternatives, trade-offs, failure modes and how you implemented/would implement it.</t>
  </si>
  <si>
    <t>P023</t>
  </si>
  <si>
    <t>LLM Provider Architecture</t>
  </si>
  <si>
    <t>LLMService abstraction</t>
  </si>
  <si>
    <t>Teach me LLMService abstraction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</si>
  <si>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LLMService abstraction.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</si>
  <si>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LLMService abstraction in the AI-Learning-Agents repository and test it.</t>
  </si>
  <si>
    <t>Working code/demo + tests/notes + a clear interview explanation of LLMService abstraction.</t>
  </si>
  <si>
    <t>Explain LLMService abstraction, why it is used, alternatives, trade-offs, failure modes and how you implemented/would implement it.</t>
  </si>
  <si>
    <t>P024</t>
  </si>
  <si>
    <t>GeminiService</t>
  </si>
  <si>
    <t>Teach me GeminiService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</si>
  <si>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GeminiService.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</si>
  <si>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GeminiService in the AI-Learning-Agents repository and test it.</t>
  </si>
  <si>
    <t>Working code/demo + tests/notes + a clear interview explanation of GeminiService.</t>
  </si>
  <si>
    <t>Explain GeminiService, why it is used, alternatives, trade-offs, failure modes and how you implemented/would implement it.</t>
  </si>
  <si>
    <t>P025</t>
  </si>
  <si>
    <t>OpenAIService</t>
  </si>
  <si>
    <t>Teach me OpenAIService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</si>
  <si>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OpenAIService.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</si>
  <si>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OpenAIService in the AI-Learning-Agents repository and test it.</t>
  </si>
  <si>
    <t>Working code/demo + tests/notes + a clear interview explanation of OpenAIService.</t>
  </si>
  <si>
    <t>Explain OpenAIService, why it is used, alternatives, trade-offs, failure modes and how you implemented/would implement it.</t>
  </si>
  <si>
    <t>P026</t>
  </si>
  <si>
    <t>ClaudeService</t>
  </si>
  <si>
    <t>Teach me ClaudeService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</si>
  <si>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ClaudeService.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</si>
  <si>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ClaudeService in the AI-Learning-Agents repository and test it.</t>
  </si>
  <si>
    <t>Working code/demo + tests/notes + a clear interview explanation of ClaudeService.</t>
  </si>
  <si>
    <t>Explain ClaudeService, why it is used, alternatives, trade-offs, failure modes and how you implemented/would implement it.</t>
  </si>
  <si>
    <t>P027</t>
  </si>
  <si>
    <t>Provider enable/disable and API-key configuration</t>
  </si>
  <si>
    <t>Teach me Provider enable/disable and API-key configuration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</si>
  <si>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Provider enable/disable and API-key configuration.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</si>
  <si>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Provider enable/disable and API-key configuration in the AI-Learning-Agents repository and test it.</t>
  </si>
  <si>
    <t>Working code/demo + tests/notes + a clear interview explanation of Provider enable/disable and API-key configuration.</t>
  </si>
  <si>
    <t>Explain Provider enable/disable and API-key configuration, why it is used, alternatives, trade-offs, failure modes and how you implemented/would implement it.</t>
  </si>
  <si>
    <t>P028</t>
  </si>
  <si>
    <t>LLMFactory</t>
  </si>
  <si>
    <t>Teach me LLMFactory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</si>
  <si>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LLMFactory.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</si>
  <si>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LLMFactory in the AI-Learning-Agents repository and test it.</t>
  </si>
  <si>
    <t>Working code/demo + tests/notes + a clear interview explanation of LLMFactory.</t>
  </si>
  <si>
    <t>Explain LLMFactory, why it is used, alternatives, trade-offs, failure modes and how you implemented/would implement it.</t>
  </si>
  <si>
    <t>P029</t>
  </si>
  <si>
    <t>User-selectable provider</t>
  </si>
  <si>
    <t>Teach me User-selectable provider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</si>
  <si>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User-selectable provider.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</si>
  <si>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User-selectable provider in the AI-Learning-Agents repository and test it.</t>
  </si>
  <si>
    <t>Working code/demo + tests/notes + a clear interview explanation of User-selectable provider.</t>
  </si>
  <si>
    <t>Explain User-selectable provider, why it is used, alternatives, trade-offs, failure modes and how you implemented/would implement it.</t>
  </si>
  <si>
    <t>P030</t>
  </si>
  <si>
    <t>Fallbacks and provider health checks</t>
  </si>
  <si>
    <t>Teach me Fallbacks and provider health checks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</si>
  <si>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Fallbacks and provider health checks.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</si>
  <si>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Fallbacks and provider health checks in the AI-Learning-Agents repository and test it.</t>
  </si>
  <si>
    <t>Working code/demo + tests/notes + a clear interview explanation of Fallbacks and provider health checks.</t>
  </si>
  <si>
    <t>Explain Fallbacks and provider health checks, why it is used, alternatives, trade-offs, failure modes and how you implemented/would implement it.</t>
  </si>
  <si>
    <t>P031</t>
  </si>
  <si>
    <t>Agent Architecture</t>
  </si>
  <si>
    <t>What is an AI agent?</t>
  </si>
  <si>
    <t>Advanced</t>
  </si>
  <si>
    <t>Teach me What is an AI agent?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</si>
  <si>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What is an AI agent?.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</si>
  <si>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What is an AI agent? in the AI-Learning-Agents repository and test it.</t>
  </si>
  <si>
    <t>Working code/demo + tests/notes + a clear interview explanation of What is an AI agent?.</t>
  </si>
  <si>
    <t>Explain What is an AI agent?, why it is used, alternatives, trade-offs, failure modes and how you implemented/would implement it.</t>
  </si>
  <si>
    <t>P032</t>
  </si>
  <si>
    <t>Agent vs chatbot vs workflow vs automation</t>
  </si>
  <si>
    <t>Teach me Agent vs chatbot vs workflow vs automation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</si>
  <si>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 vs chatbot vs workflow vs automation.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</si>
  <si>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 vs chatbot vs workflow vs automation in the AI-Learning-Agents repository and test it.</t>
  </si>
  <si>
    <t>Working code/demo + tests/notes + a clear interview explanation of Agent vs chatbot vs workflow vs automation.</t>
  </si>
  <si>
    <t>Explain Agent vs chatbot vs workflow vs automation, why it is used, alternatives, trade-offs, failure modes and how you implemented/would implement it.</t>
  </si>
  <si>
    <t>P033</t>
  </si>
  <si>
    <t>Agent state and orchestration loop</t>
  </si>
  <si>
    <t>Teach me Agent state and orchestration loop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</si>
  <si>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 state and orchestration loop.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</si>
  <si>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 state and orchestration loop in the AI-Learning-Agents repository and test it.</t>
  </si>
  <si>
    <t>Working code/demo + tests/notes + a clear interview explanation of Agent state and orchestration loop.</t>
  </si>
  <si>
    <t>Explain Agent state and orchestration loop, why it is used, alternatives, trade-offs, failure modes and how you implemented/would implement it.</t>
  </si>
  <si>
    <t>P034</t>
  </si>
  <si>
    <t>Planner/executor concepts</t>
  </si>
  <si>
    <t>Teach me Planner/executor concepts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</si>
  <si>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Planner/executor concepts.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</si>
  <si>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Planner/executor concepts in the AI-Learning-Agents repository and test it.</t>
  </si>
  <si>
    <t>Working code/demo + tests/notes + a clear interview explanation of Planner/executor concepts.</t>
  </si>
  <si>
    <t>Explain Planner/executor concepts, why it is used, alternatives, trade-offs, failure modes and how you implemented/would implement it.</t>
  </si>
  <si>
    <t>P035</t>
  </si>
  <si>
    <t>Deterministic vs LLM-driven orchestration</t>
  </si>
  <si>
    <t>Teach me Deterministic vs LLM-driven orchestration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</si>
  <si>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Deterministic vs LLM-driven orchestration.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</si>
  <si>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Deterministic vs LLM-driven orchestration in the AI-Learning-Agents repository and test it.</t>
  </si>
  <si>
    <t>Working code/demo + tests/notes + a clear interview explanation of Deterministic vs LLM-driven orchestration.</t>
  </si>
  <si>
    <t>Explain Deterministic vs LLM-driven orchestration, why it is used, alternatives, trade-offs, failure modes and how you implemented/would implement it.</t>
  </si>
  <si>
    <t>P036</t>
  </si>
  <si>
    <t>Single-agent patterns</t>
  </si>
  <si>
    <t>Teach me Single-agent patterns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</si>
  <si>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Single-agent patterns.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</si>
  <si>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Single-agent patterns in the AI-Learning-Agents repository and test it.</t>
  </si>
  <si>
    <t>Working code/demo + tests/notes + a clear interview explanation of Single-agent patterns.</t>
  </si>
  <si>
    <t>Explain Single-agent patterns, why it is used, alternatives, trade-offs, failure modes and how you implemented/would implement it.</t>
  </si>
  <si>
    <t>P037</t>
  </si>
  <si>
    <t>Multi-agent patterns</t>
  </si>
  <si>
    <t>Teach me Multi-agent patterns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</si>
  <si>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Multi-agent patterns.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</si>
  <si>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Multi-agent patterns in the AI-Learning-Agents repository and test it.</t>
  </si>
  <si>
    <t>Working code/demo + tests/notes + a clear interview explanation of Multi-agent patterns.</t>
  </si>
  <si>
    <t>Explain Multi-agent patterns, why it is used, alternatives, trade-offs, failure modes and how you implemented/would implement it.</t>
  </si>
  <si>
    <t>P038</t>
  </si>
  <si>
    <t>Tool Calling</t>
  </si>
  <si>
    <t>Tool definitions and schemas</t>
  </si>
  <si>
    <t>Teach me Tool definitions and schemas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</si>
  <si>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Tool definitions and schemas.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</si>
  <si>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Tool definitions and schemas in the AI-Learning-Agents repository and test it.</t>
  </si>
  <si>
    <t>Working code/demo + tests/notes + a clear interview explanation of Tool definitions and schemas.</t>
  </si>
  <si>
    <t>Explain Tool definitions and schemas, why it is used, alternatives, trade-offs, failure modes and how you implemented/would implement it.</t>
  </si>
  <si>
    <t>P039</t>
  </si>
  <si>
    <t>How Gemini decides to call a tool</t>
  </si>
  <si>
    <t>Teach me How Gemini decides to call a tool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</si>
  <si>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How Gemini decides to call a tool.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</si>
  <si>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How Gemini decides to call a tool in the AI-Learning-Agents repository and test it.</t>
  </si>
  <si>
    <t>Working code/demo + tests/notes + a clear interview explanation of How Gemini decides to call a tool.</t>
  </si>
  <si>
    <t>Explain How Gemini decides to call a tool, why it is used, alternatives, trade-offs, failure modes and how you implemented/would implement it.</t>
  </si>
  <si>
    <t>P040</t>
  </si>
  <si>
    <t>Function calling vs direct execution</t>
  </si>
  <si>
    <t>Teach me Function calling vs direct execution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</si>
  <si>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Function calling vs direct execution.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</si>
  <si>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Function calling vs direct execution in the AI-Learning-Agents repository and test it.</t>
  </si>
  <si>
    <t>Working code/demo + tests/notes + a clear interview explanation of Function calling vs direct execution.</t>
  </si>
  <si>
    <t>Explain Function calling vs direct execution, why it is used, alternatives, trade-offs, failure modes and how you implemented/would implement it.</t>
  </si>
  <si>
    <t>P041</t>
  </si>
  <si>
    <t>ToolDefinition</t>
  </si>
  <si>
    <t>Teach me ToolDefinition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</si>
  <si>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ToolDefinition.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</si>
  <si>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ToolDefinition in the AI-Learning-Agents repository and test it.</t>
  </si>
  <si>
    <t>Working code/demo + tests/notes + a clear interview explanation of ToolDefinition.</t>
  </si>
  <si>
    <t>Explain ToolDefinition, why it is used, alternatives, trade-offs, failure modes and how you implemented/would implement it.</t>
  </si>
  <si>
    <t>P042</t>
  </si>
  <si>
    <t>ToolRegistry</t>
  </si>
  <si>
    <t>Teach me ToolRegistry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</si>
  <si>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ToolRegistry.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</si>
  <si>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ToolRegistry in the AI-Learning-Agents repository and test it.</t>
  </si>
  <si>
    <t>Working code/demo + tests/notes + a clear interview explanation of ToolRegistry.</t>
  </si>
  <si>
    <t>Explain ToolRegistry, why it is used, alternatives, trade-offs, failure modes and how you implemented/would implement it.</t>
  </si>
  <si>
    <t>P043</t>
  </si>
  <si>
    <t>Agent tool execution</t>
  </si>
  <si>
    <t>Teach me Agent tool execution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</si>
  <si>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 tool execution.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</si>
  <si>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 tool execution in the AI-Learning-Agents repository and test it.</t>
  </si>
  <si>
    <t>Working code/demo + tests/notes + a clear interview explanation of Agent tool execution.</t>
  </si>
  <si>
    <t>Explain Agent tool execution, why it is used, alternatives, trade-offs, failure modes and how you implemented/would implement it.</t>
  </si>
  <si>
    <t>P044</t>
  </si>
  <si>
    <t>Argument validation and errors</t>
  </si>
  <si>
    <t>Teach me Argument validation and errors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</si>
  <si>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Argument validation and errors.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</si>
  <si>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Argument validation and errors in the AI-Learning-Agents repository and test it.</t>
  </si>
  <si>
    <t>Working code/demo + tests/notes + a clear interview explanation of Argument validation and errors.</t>
  </si>
  <si>
    <t>Explain Argument validation and errors, why it is used, alternatives, trade-offs, failure modes and how you implemented/would implement it.</t>
  </si>
  <si>
    <t>P045</t>
  </si>
  <si>
    <t>Multiple tools and tool selection</t>
  </si>
  <si>
    <t>Teach me Multiple tools and tool selection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</si>
  <si>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Multiple tools and tool selection.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</si>
  <si>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Multiple tools and tool selection in the AI-Learning-Agents repository and test it.</t>
  </si>
  <si>
    <t>Working code/demo + tests/notes + a clear interview explanation of Multiple tools and tool selection.</t>
  </si>
  <si>
    <t>Explain Multiple tools and tool selection, why it is used, alternatives, trade-offs, failure modes and how you implemented/would implement it.</t>
  </si>
  <si>
    <t>P046</t>
  </si>
  <si>
    <t>Tool result returned to LLM</t>
  </si>
  <si>
    <t>Teach me Tool result returned to LLM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</si>
  <si>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Tool result returned to LLM.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</si>
  <si>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Tool result returned to LLM in the AI-Learning-Agents repository and test it.</t>
  </si>
  <si>
    <t>Working code/demo + tests/notes + a clear interview explanation of Tool result returned to LLM.</t>
  </si>
  <si>
    <t>Explain Tool result returned to LLM, why it is used, alternatives, trade-offs, failure modes and how you implemented/would implement it.</t>
  </si>
  <si>
    <t>P047</t>
  </si>
  <si>
    <t>Multi-step tool loop and stopping conditions</t>
  </si>
  <si>
    <t>Teach me Multi-step tool loop and stopping conditions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</si>
  <si>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Multi-step tool loop and stopping conditions.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</si>
  <si>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Multi-step tool loop and stopping conditions in the AI-Learning-Agents repository and test it.</t>
  </si>
  <si>
    <t>Working code/demo + tests/notes + a clear interview explanation of Multi-step tool loop and stopping conditions.</t>
  </si>
  <si>
    <t>Explain Multi-step tool loop and stopping conditions, why it is used, alternatives, trade-offs, failure modes and how you implemented/would implement it.</t>
  </si>
  <si>
    <t>P048</t>
  </si>
  <si>
    <t>State &amp; Memory</t>
  </si>
  <si>
    <t>Conversation state</t>
  </si>
  <si>
    <t>Medium</t>
  </si>
  <si>
    <t>Teach me Conversation state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</si>
  <si>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Conversation state.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</si>
  <si>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Conversation state in the AI-Learning-Agents repository and test it.</t>
  </si>
  <si>
    <t>Working code/demo + tests/notes + a clear interview explanation of Conversation state.</t>
  </si>
  <si>
    <t>Explain Conversation state, why it is used, alternatives, trade-offs, failure modes and how you implemented/would implement it.</t>
  </si>
  <si>
    <t>P049</t>
  </si>
  <si>
    <t>Short-term vs long-term memory</t>
  </si>
  <si>
    <t>Teach me Short-term vs long-term memory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</si>
  <si>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Short-term vs long-term memory.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</si>
  <si>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Short-term vs long-term memory in the AI-Learning-Agents repository and test it.</t>
  </si>
  <si>
    <t>Working code/demo + tests/notes + a clear interview explanation of Short-term vs long-term memory.</t>
  </si>
  <si>
    <t>Explain Short-term vs long-term memory, why it is used, alternatives, trade-offs, failure modes and how you implemented/would implement it.</t>
  </si>
  <si>
    <t>P050</t>
  </si>
  <si>
    <t>Memory storage patterns</t>
  </si>
  <si>
    <t>Teach me Memory storage patterns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</si>
  <si>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Memory storage patterns.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</si>
  <si>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Memory storage patterns in the AI-Learning-Agents repository and test it.</t>
  </si>
  <si>
    <t>Working code/demo + tests/notes + a clear interview explanation of Memory storage patterns.</t>
  </si>
  <si>
    <t>Explain Memory storage patterns, why it is used, alternatives, trade-offs, failure modes and how you implemented/would implement it.</t>
  </si>
  <si>
    <t>P051</t>
  </si>
  <si>
    <t>User/session identity and isolation</t>
  </si>
  <si>
    <t>Teach me User/session identity and isolation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</si>
  <si>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User/session identity and isolation.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</si>
  <si>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User/session identity and isolation in the AI-Learning-Agents repository and test it.</t>
  </si>
  <si>
    <t>Working code/demo + tests/notes + a clear interview explanation of User/session identity and isolation.</t>
  </si>
  <si>
    <t>Explain User/session identity and isolation, why it is used, alternatives, trade-offs, failure modes and how you implemented/would implement it.</t>
  </si>
  <si>
    <t>P052</t>
  </si>
  <si>
    <t>Context window management</t>
  </si>
  <si>
    <t>Teach me Context window management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</si>
  <si>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Context window management.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</si>
  <si>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Context window management in the AI-Learning-Agents repository and test it.</t>
  </si>
  <si>
    <t>Working code/demo + tests/notes + a clear interview explanation of Context window management.</t>
  </si>
  <si>
    <t>Explain Context window management, why it is used, alternatives, trade-offs, failure modes and how you implemented/would implement it.</t>
  </si>
  <si>
    <t>P053</t>
  </si>
  <si>
    <t>Summarization and context compaction</t>
  </si>
  <si>
    <t>Teach me Summarization and context compaction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</si>
  <si>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Summarization and context compaction.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</si>
  <si>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Summarization and context compaction in the AI-Learning-Agents repository and test it.</t>
  </si>
  <si>
    <t>Working code/demo + tests/notes + a clear interview explanation of Summarization and context compaction.</t>
  </si>
  <si>
    <t>Explain Summarization and context compaction, why it is used, alternatives, trade-offs, failure modes and how you implemented/would implement it.</t>
  </si>
  <si>
    <t>P054</t>
  </si>
  <si>
    <t>RAG</t>
  </si>
  <si>
    <t>RAG architecture and when to use it</t>
  </si>
  <si>
    <t>Teach me RAG architecture and when to use it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</si>
  <si>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RAG architecture and when to use it.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</si>
  <si>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RAG architecture and when to use it in the AI-Learning-Agents repository and test it.</t>
  </si>
  <si>
    <t>Working code/demo + tests/notes + a clear interview explanation of RAG architecture and when to use it.</t>
  </si>
  <si>
    <t>Explain RAG architecture and when to use it, why it is used, alternatives, trade-offs, failure modes and how you implemented/would implement it.</t>
  </si>
  <si>
    <t>P055</t>
  </si>
  <si>
    <t>Document ingestion and chunking</t>
  </si>
  <si>
    <t>Teach me Document ingestion and chunking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</si>
  <si>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Document ingestion and chunking.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</si>
  <si>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Document ingestion and chunking in the AI-Learning-Agents repository and test it.</t>
  </si>
  <si>
    <t>Working code/demo + tests/notes + a clear interview explanation of Document ingestion and chunking.</t>
  </si>
  <si>
    <t>Explain Document ingestion and chunking, why it is used, alternatives, trade-offs, failure modes and how you implemented/would implement it.</t>
  </si>
  <si>
    <t>P056</t>
  </si>
  <si>
    <t>Embeddings and vector stores</t>
  </si>
  <si>
    <t>Teach me Embeddings and vector stores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</si>
  <si>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Embeddings and vector stores.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</si>
  <si>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Embeddings and vector stores in the AI-Learning-Agents repository and test it.</t>
  </si>
  <si>
    <t>Working code/demo + tests/notes + a clear interview explanation of Embeddings and vector stores.</t>
  </si>
  <si>
    <t>Explain Embeddings and vector stores, why it is used, alternatives, trade-offs, failure modes and how you implemented/would implement it.</t>
  </si>
  <si>
    <t>P057</t>
  </si>
  <si>
    <t>Similarity search and metadata filtering</t>
  </si>
  <si>
    <t>Teach me Similarity search and metadata filtering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</si>
  <si>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Similarity search and metadata filtering.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</si>
  <si>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Similarity search and metadata filtering in the AI-Learning-Agents repository and test it.</t>
  </si>
  <si>
    <t>Working code/demo + tests/notes + a clear interview explanation of Similarity search and metadata filtering.</t>
  </si>
  <si>
    <t>Explain Similarity search and metadata filtering, why it is used, alternatives, trade-offs, failure modes and how you implemented/would implement it.</t>
  </si>
  <si>
    <t>P058</t>
  </si>
  <si>
    <t>Retrieval quality and reranking</t>
  </si>
  <si>
    <t>Teach me Retrieval quality and reranking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</si>
  <si>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Retrieval quality and reranking.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</si>
  <si>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Retrieval quality and reranking in the AI-Learning-Agents repository and test it.</t>
  </si>
  <si>
    <t>Working code/demo + tests/notes + a clear interview explanation of Retrieval quality and reranking.</t>
  </si>
  <si>
    <t>Explain Retrieval quality and reranking, why it is used, alternatives, trade-offs, failure modes and how you implemented/would implement it.</t>
  </si>
  <si>
    <t>P059</t>
  </si>
  <si>
    <t>Grounded generation and citations</t>
  </si>
  <si>
    <t>Teach me Grounded generation and citations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</si>
  <si>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Grounded generation and citations.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</si>
  <si>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Grounded generation and citations in the AI-Learning-Agents repository and test it.</t>
  </si>
  <si>
    <t>Working code/demo + tests/notes + a clear interview explanation of Grounded generation and citations.</t>
  </si>
  <si>
    <t>Explain Grounded generation and citations, why it is used, alternatives, trade-offs, failure modes and how you implemented/would implement it.</t>
  </si>
  <si>
    <t>P060</t>
  </si>
  <si>
    <t>RAG evaluation and failure modes</t>
  </si>
  <si>
    <t>Teach me RAG evaluation and failure modes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</si>
  <si>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RAG evaluation and failure modes.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</si>
  <si>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RAG evaluation and failure modes in the AI-Learning-Agents repository and test it.</t>
  </si>
  <si>
    <t>Working code/demo + tests/notes + a clear interview explanation of RAG evaluation and failure modes.</t>
  </si>
  <si>
    <t>Explain RAG evaluation and failure modes, why it is used, alternatives, trade-offs, failure modes and how you implemented/would implement it.</t>
  </si>
  <si>
    <t>P061</t>
  </si>
  <si>
    <t>MCP &amp; Agent Tools</t>
  </si>
  <si>
    <t>Model Context Protocol concepts</t>
  </si>
  <si>
    <t>Teach me Model Context Protocol concepts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</si>
  <si>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Model Context Protocol concepts.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</si>
  <si>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Model Context Protocol concepts in the AI-Learning-Agents repository and test it.</t>
  </si>
  <si>
    <t>Working code/demo + tests/notes + a clear interview explanation of Model Context Protocol concepts.</t>
  </si>
  <si>
    <t>Explain Model Context Protocol concepts, why it is used, alternatives, trade-offs, failure modes and how you implemented/would implement it.</t>
  </si>
  <si>
    <t>P062</t>
  </si>
  <si>
    <t>MCP server/client architecture</t>
  </si>
  <si>
    <t>Teach me MCP server/client architecture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</si>
  <si>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MCP server/client architecture.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</si>
  <si>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MCP server/client architecture in the AI-Learning-Agents repository and test it.</t>
  </si>
  <si>
    <t>Working code/demo + tests/notes + a clear interview explanation of MCP server/client architecture.</t>
  </si>
  <si>
    <t>Explain MCP server/client architecture, why it is used, alternatives, trade-offs, failure modes and how you implemented/would implement it.</t>
  </si>
  <si>
    <t>P063</t>
  </si>
  <si>
    <t>MCP tools, resources and prompts</t>
  </si>
  <si>
    <t>Teach me MCP tools, resources and prompts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</si>
  <si>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MCP tools, resources and prompts.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</si>
  <si>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MCP tools, resources and prompts in the AI-Learning-Agents repository and test it.</t>
  </si>
  <si>
    <t>Working code/demo + tests/notes + a clear interview explanation of MCP tools, resources and prompts.</t>
  </si>
  <si>
    <t>Explain MCP tools, resources and prompts, why it is used, alternatives, trade-offs, failure modes and how you implemented/would implement it.</t>
  </si>
  <si>
    <t>P064</t>
  </si>
  <si>
    <t>Secure MCP access</t>
  </si>
  <si>
    <t>Teach me Secure MCP access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</si>
  <si>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Secure MCP access.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</si>
  <si>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Secure MCP access in the AI-Learning-Agents repository and test it.</t>
  </si>
  <si>
    <t>Working code/demo + tests/notes + a clear interview explanation of Secure MCP access.</t>
  </si>
  <si>
    <t>Explain Secure MCP access, why it is used, alternatives, trade-offs, failure modes and how you implemented/would implement it.</t>
  </si>
  <si>
    <t>P065</t>
  </si>
  <si>
    <t>MCP vs custom tool registry</t>
  </si>
  <si>
    <t>Teach me MCP vs custom tool registry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</si>
  <si>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MCP vs custom tool registry.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</si>
  <si>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MCP vs custom tool registry in the AI-Learning-Agents repository and test it.</t>
  </si>
  <si>
    <t>Working code/demo + tests/notes + a clear interview explanation of MCP vs custom tool registry.</t>
  </si>
  <si>
    <t>Explain MCP vs custom tool registry, why it is used, alternatives, trade-offs, failure modes and how you implemented/would implement it.</t>
  </si>
  <si>
    <t>P066</t>
  </si>
  <si>
    <t>Build a small MCP server</t>
  </si>
  <si>
    <t>Teach me Build a small MCP server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</si>
  <si>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Build a small MCP server.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</si>
  <si>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Build a small MCP server in the AI-Learning-Agents repository and test it.</t>
  </si>
  <si>
    <t>Working code/demo + tests/notes + a clear interview explanation of Build a small MCP server.</t>
  </si>
  <si>
    <t>Explain Build a small MCP server, why it is used, alternatives, trade-offs, failure modes and how you implemented/would implement it.</t>
  </si>
  <si>
    <t>P067</t>
  </si>
  <si>
    <t>Orchestration</t>
  </si>
  <si>
    <t>Sequential workflows</t>
  </si>
  <si>
    <t>Teach me Sequential workflows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</si>
  <si>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Sequential workflows.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</si>
  <si>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Sequential workflows in the AI-Learning-Agents repository and test it.</t>
  </si>
  <si>
    <t>Working code/demo + tests/notes + a clear interview explanation of Sequential workflows.</t>
  </si>
  <si>
    <t>Explain Sequential workflows, why it is used, alternatives, trade-offs, failure modes and how you implemented/would implement it.</t>
  </si>
  <si>
    <t>P068</t>
  </si>
  <si>
    <t>Parallel fan-out/fan-in</t>
  </si>
  <si>
    <t>Teach me Parallel fan-out/fan-in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</si>
  <si>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Parallel fan-out/fan-in.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</si>
  <si>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Parallel fan-out/fan-in in the AI-Learning-Agents repository and test it.</t>
  </si>
  <si>
    <t>Working code/demo + tests/notes + a clear interview explanation of Parallel fan-out/fan-in.</t>
  </si>
  <si>
    <t>Explain Parallel fan-out/fan-in, why it is used, alternatives, trade-offs, failure modes and how you implemented/would implement it.</t>
  </si>
  <si>
    <t>P069</t>
  </si>
  <si>
    <t>Conditional routing</t>
  </si>
  <si>
    <t>Teach me Conditional routing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</si>
  <si>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Conditional routing.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</si>
  <si>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Conditional routing in the AI-Learning-Agents repository and test it.</t>
  </si>
  <si>
    <t>Working code/demo + tests/notes + a clear interview explanation of Conditional routing.</t>
  </si>
  <si>
    <t>Explain Conditional routing, why it is used, alternatives, trade-offs, failure modes and how you implemented/would implement it.</t>
  </si>
  <si>
    <t>P070</t>
  </si>
  <si>
    <t>Retries, timeouts and circuit breakers</t>
  </si>
  <si>
    <t>Teach me Retries, timeouts and circuit breakers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</si>
  <si>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Retries, timeouts and circuit breakers.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</si>
  <si>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Retries, timeouts and circuit breakers in the AI-Learning-Agents repository and test it.</t>
  </si>
  <si>
    <t>Working code/demo + tests/notes + a clear interview explanation of Retries, timeouts and circuit breakers.</t>
  </si>
  <si>
    <t>Explain Retries, timeouts and circuit breakers, why it is used, alternatives, trade-offs, failure modes and how you implemented/would implement it.</t>
  </si>
  <si>
    <t>P071</t>
  </si>
  <si>
    <t>Human-in-the-loop approvals</t>
  </si>
  <si>
    <t>Teach me Human-in-the-loop approvals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</si>
  <si>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Human-in-the-loop approvals.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</si>
  <si>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Human-in-the-loop approvals in the AI-Learning-Agents repository and test it.</t>
  </si>
  <si>
    <t>Working code/demo + tests/notes + a clear interview explanation of Human-in-the-loop approvals.</t>
  </si>
  <si>
    <t>Explain Human-in-the-loop approvals, why it is used, alternatives, trade-offs, failure modes and how you implemented/would implement it.</t>
  </si>
  <si>
    <t>P072</t>
  </si>
  <si>
    <t>Event-driven/asynchronous agents</t>
  </si>
  <si>
    <t>Teach me Event-driven/asynchronous agents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</si>
  <si>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Event-driven/asynchronous agents.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</si>
  <si>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Event-driven/asynchronous agents in the AI-Learning-Agents repository and test it.</t>
  </si>
  <si>
    <t>Working code/demo + tests/notes + a clear interview explanation of Event-driven/asynchronous agents.</t>
  </si>
  <si>
    <t>Explain Event-driven/asynchronous agents, why it is used, alternatives, trade-offs, failure modes and how you implemented/would implement it.</t>
  </si>
  <si>
    <t>P073</t>
  </si>
  <si>
    <t>State machines and durable workflows</t>
  </si>
  <si>
    <t>Teach me State machines and durable workflows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</si>
  <si>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State machines and durable workflows.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</si>
  <si>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State machines and durable workflows in the AI-Learning-Agents repository and test it.</t>
  </si>
  <si>
    <t>Working code/demo + tests/notes + a clear interview explanation of State machines and durable workflows.</t>
  </si>
  <si>
    <t>Explain State machines and durable workflows, why it is used, alternatives, trade-offs, failure modes and how you implemented/would implement it.</t>
  </si>
  <si>
    <t>P074</t>
  </si>
  <si>
    <t>Reliability &amp; Evaluation</t>
  </si>
  <si>
    <t>Agent observability and tracing</t>
  </si>
  <si>
    <t>Teach me Agent observability and tracing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</si>
  <si>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 observability and tracing.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</si>
  <si>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 observability and tracing in the AI-Learning-Agents repository and test it.</t>
  </si>
  <si>
    <t>Working code/demo + tests/notes + a clear interview explanation of Agent observability and tracing.</t>
  </si>
  <si>
    <t>Explain Agent observability and tracing, why it is used, alternatives, trade-offs, failure modes and how you implemented/would implement it.</t>
  </si>
  <si>
    <t>P075</t>
  </si>
  <si>
    <t>Structured logs and correlation IDs</t>
  </si>
  <si>
    <t>Teach me Structured logs and correlation IDs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</si>
  <si>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Structured logs and correlation IDs.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</si>
  <si>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Structured logs and correlation IDs in the AI-Learning-Agents repository and test it.</t>
  </si>
  <si>
    <t>Working code/demo + tests/notes + a clear interview explanation of Structured logs and correlation IDs.</t>
  </si>
  <si>
    <t>Explain Structured logs and correlation IDs, why it is used, alternatives, trade-offs, failure modes and how you implemented/would implement it.</t>
  </si>
  <si>
    <t>P076</t>
  </si>
  <si>
    <t>LLM evaluation datasets</t>
  </si>
  <si>
    <t>Teach me LLM evaluation datasets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</si>
  <si>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LLM evaluation datasets.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</si>
  <si>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LLM evaluation datasets in the AI-Learning-Agents repository and test it.</t>
  </si>
  <si>
    <t>Working code/demo + tests/notes + a clear interview explanation of LLM evaluation datasets.</t>
  </si>
  <si>
    <t>Explain LLM evaluation datasets, why it is used, alternatives, trade-offs, failure modes and how you implemented/would implement it.</t>
  </si>
  <si>
    <t>P077</t>
  </si>
  <si>
    <t>Tool-call accuracy evaluation</t>
  </si>
  <si>
    <t>Teach me Tool-call accuracy evaluation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</si>
  <si>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Tool-call accuracy evaluation.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</si>
  <si>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Tool-call accuracy evaluation in the AI-Learning-Agents repository and test it.</t>
  </si>
  <si>
    <t>Working code/demo + tests/notes + a clear interview explanation of Tool-call accuracy evaluation.</t>
  </si>
  <si>
    <t>Explain Tool-call accuracy evaluation, why it is used, alternatives, trade-offs, failure modes and how you implemented/would implement it.</t>
  </si>
  <si>
    <t>P078</t>
  </si>
  <si>
    <t>RAG evaluation</t>
  </si>
  <si>
    <t>Teach me RAG evaluation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</si>
  <si>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RAG evaluation.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</si>
  <si>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RAG evaluation in the AI-Learning-Agents repository and test it.</t>
  </si>
  <si>
    <t>Working code/demo + tests/notes + a clear interview explanation of RAG evaluation.</t>
  </si>
  <si>
    <t>Explain RAG evaluation, why it is used, alternatives, trade-offs, failure modes and how you implemented/would implement it.</t>
  </si>
  <si>
    <t>P079</t>
  </si>
  <si>
    <t>Cost, latency and token monitoring</t>
  </si>
  <si>
    <t>Teach me Cost, latency and token monitoring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</si>
  <si>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Cost, latency and token monitoring.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</si>
  <si>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Cost, latency and token monitoring in the AI-Learning-Agents repository and test it.</t>
  </si>
  <si>
    <t>Working code/demo + tests/notes + a clear interview explanation of Cost, latency and token monitoring.</t>
  </si>
  <si>
    <t>Explain Cost, latency and token monitoring, why it is used, alternatives, trade-offs, failure modes and how you implemented/would implement it.</t>
  </si>
  <si>
    <t>P080</t>
  </si>
  <si>
    <t>Guardrails and safety controls</t>
  </si>
  <si>
    <t>Teach me Guardrails and safety controls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</si>
  <si>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Guardrails and safety controls.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</si>
  <si>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Guardrails and safety controls in the AI-Learning-Agents repository and test it.</t>
  </si>
  <si>
    <t>Working code/demo + tests/notes + a clear interview explanation of Guardrails and safety controls.</t>
  </si>
  <si>
    <t>Explain Guardrails and safety controls, why it is used, alternatives, trade-offs, failure modes and how you implemented/would implement it.</t>
  </si>
  <si>
    <t>P081</t>
  </si>
  <si>
    <t>Production Engineering</t>
  </si>
  <si>
    <t>Secrets and API-key management</t>
  </si>
  <si>
    <t>Teach me Secrets and API-key management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</si>
  <si>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Secrets and API-key management.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</si>
  <si>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Secrets and API-key management in the AI-Learning-Agents repository and test it.</t>
  </si>
  <si>
    <t>Working code/demo + tests/notes + a clear interview explanation of Secrets and API-key management.</t>
  </si>
  <si>
    <t>Explain Secrets and API-key management, why it is used, alternatives, trade-offs, failure modes and how you implemented/would implement it.</t>
  </si>
  <si>
    <t>P082</t>
  </si>
  <si>
    <t>Authentication and authorization</t>
  </si>
  <si>
    <t>Teach me Authentication and authorization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</si>
  <si>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Authentication and authorization.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</si>
  <si>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Authentication and authorization in the AI-Learning-Agents repository and test it.</t>
  </si>
  <si>
    <t>Working code/demo + tests/notes + a clear interview explanation of Authentication and authorization.</t>
  </si>
  <si>
    <t>Explain Authentication and authorization, why it is used, alternatives, trade-offs, failure modes and how you implemented/would implement it.</t>
  </si>
  <si>
    <t>P083</t>
  </si>
  <si>
    <t>Rate limiting and quotas</t>
  </si>
  <si>
    <t>Teach me Rate limiting and quotas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</si>
  <si>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Rate limiting and quotas.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</si>
  <si>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Rate limiting and quotas in the AI-Learning-Agents repository and test it.</t>
  </si>
  <si>
    <t>Working code/demo + tests/notes + a clear interview explanation of Rate limiting and quotas.</t>
  </si>
  <si>
    <t>Explain Rate limiting and quotas, why it is used, alternatives, trade-offs, failure modes and how you implemented/would implement it.</t>
  </si>
  <si>
    <t>P084</t>
  </si>
  <si>
    <t>Caching strategies</t>
  </si>
  <si>
    <t>Teach me Caching strategies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</si>
  <si>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Caching strategies.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</si>
  <si>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Caching strategies in the AI-Learning-Agents repository and test it.</t>
  </si>
  <si>
    <t>Working code/demo + tests/notes + a clear interview explanation of Caching strategies.</t>
  </si>
  <si>
    <t>Explain Caching strategies, why it is used, alternatives, trade-offs, failure modes and how you implemented/would implement it.</t>
  </si>
  <si>
    <t>P085</t>
  </si>
  <si>
    <t>Background jobs and queues</t>
  </si>
  <si>
    <t>Teach me Background jobs and queues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</si>
  <si>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Background jobs and queues.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</si>
  <si>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Background jobs and queues in the AI-Learning-Agents repository and test it.</t>
  </si>
  <si>
    <t>Working code/demo + tests/notes + a clear interview explanation of Background jobs and queues.</t>
  </si>
  <si>
    <t>Explain Background jobs and queues, why it is used, alternatives, trade-offs, failure modes and how you implemented/would implement it.</t>
  </si>
  <si>
    <t>P086</t>
  </si>
  <si>
    <t>Docker and container deployment</t>
  </si>
  <si>
    <t>Teach me Docker and container deployment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</si>
  <si>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Docker and container deployment.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</si>
  <si>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Docker and container deployment in the AI-Learning-Agents repository and test it.</t>
  </si>
  <si>
    <t>Working code/demo + tests/notes + a clear interview explanation of Docker and container deployment.</t>
  </si>
  <si>
    <t>Explain Docker and container deployment, why it is used, alternatives, trade-offs, failure modes and how you implemented/would implement it.</t>
  </si>
  <si>
    <t>P087</t>
  </si>
  <si>
    <t>CI/CD for AI applications</t>
  </si>
  <si>
    <t>Teach me CI/CD for AI applications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</si>
  <si>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CI/CD for AI applications.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</si>
  <si>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CI/CD for AI applications in the AI-Learning-Agents repository and test it.</t>
  </si>
  <si>
    <t>Working code/demo + tests/notes + a clear interview explanation of CI/CD for AI applications.</t>
  </si>
  <si>
    <t>Explain CI/CD for AI applications, why it is used, alternatives, trade-offs, failure modes and how you implemented/would implement it.</t>
  </si>
  <si>
    <t>P088</t>
  </si>
  <si>
    <t>AWS/Azure architecture for agentic systems</t>
  </si>
  <si>
    <t>Teach me AWS/Azure architecture for agentic systems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</si>
  <si>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AWS/Azure architecture for agentic systems.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</si>
  <si>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AWS/Azure architecture for agentic systems in the AI-Learning-Agents repository and test it.</t>
  </si>
  <si>
    <t>Working code/demo + tests/notes + a clear interview explanation of AWS/Azure architecture for agentic systems.</t>
  </si>
  <si>
    <t>Explain AWS/Azure architecture for agentic systems, why it is used, alternatives, trade-offs, failure modes and how you implemented/would implement it.</t>
  </si>
  <si>
    <t>P089</t>
  </si>
  <si>
    <t>Claude Code &amp; AI SDLC</t>
  </si>
  <si>
    <t>Claude Code fundamentals</t>
  </si>
  <si>
    <t>Teach me Claude Code fundamentals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</si>
  <si>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Claude Code fundamentals.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</si>
  <si>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Claude Code fundamentals in the AI-Learning-Agents repository and test it.</t>
  </si>
  <si>
    <t>Working code/demo + tests/notes + a clear interview explanation of Claude Code fundamentals.</t>
  </si>
  <si>
    <t>Explain Claude Code fundamentals, why it is used, alternatives, trade-offs, failure modes and how you implemented/would implement it.</t>
  </si>
  <si>
    <t>P090</t>
  </si>
  <si>
    <t>Hooks, skills, plugins and routines</t>
  </si>
  <si>
    <t>Teach me Hooks, skills, plugins and routines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</si>
  <si>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Hooks, skills, plugins and routines.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</si>
  <si>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Hooks, skills, plugins and routines in the AI-Learning-Agents repository and test it.</t>
  </si>
  <si>
    <t>Working code/demo + tests/notes + a clear interview explanation of Hooks, skills, plugins and routines.</t>
  </si>
  <si>
    <t>Explain Hooks, skills, plugins and routines, why it is used, alternatives, trade-offs, failure modes and how you implemented/would implement it.</t>
  </si>
  <si>
    <t>P091</t>
  </si>
  <si>
    <t>Agent-assisted coding workflow</t>
  </si>
  <si>
    <t>Teach me Agent-assisted coding workflow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</si>
  <si>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Agent-assisted coding workflow.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</si>
  <si>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Agent-assisted coding workflow in the AI-Learning-Agents repository and test it.</t>
  </si>
  <si>
    <t>Working code/demo + tests/notes + a clear interview explanation of Agent-assisted coding workflow.</t>
  </si>
  <si>
    <t>Explain Agent-assisted coding workflow, why it is used, alternatives, trade-offs, failure modes and how you implemented/would implement it.</t>
  </si>
  <si>
    <t>P092</t>
  </si>
  <si>
    <t>AI SDLC: plan → implement → test → review → deploy</t>
  </si>
  <si>
    <t>Teach me AI SDLC: plan → implement → test → review → deploy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</si>
  <si>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AI SDLC: plan → implement → test → review → deploy.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</si>
  <si>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AI SDLC: plan → implement → test → review → deploy in the AI-Learning-Agents repository and test it.</t>
  </si>
  <si>
    <t>Working code/demo + tests/notes + a clear interview explanation of AI SDLC: plan → implement → test → review → deploy.</t>
  </si>
  <si>
    <t>Explain AI SDLC: plan → implement → test → review → deploy, why it is used, alternatives, trade-offs, failure modes and how you implemented/would implement it.</t>
  </si>
  <si>
    <t>P093</t>
  </si>
  <si>
    <t>MCP integration with coding agents</t>
  </si>
  <si>
    <t>Teach me MCP integration with coding agents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</si>
  <si>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MCP integration with coding agents.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</si>
  <si>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MCP integration with coding agents in the AI-Learning-Agents repository and test it.</t>
  </si>
  <si>
    <t>Working code/demo + tests/notes + a clear interview explanation of MCP integration with coding agents.</t>
  </si>
  <si>
    <t>Explain MCP integration with coding agents, why it is used, alternatives, trade-offs, failure modes and how you implemented/would implement it.</t>
  </si>
  <si>
    <t>P094</t>
  </si>
  <si>
    <t>Architecture &amp; System Design</t>
  </si>
  <si>
    <t>Agentic system architecture interview patterns</t>
  </si>
  <si>
    <t>Expert</t>
  </si>
  <si>
    <t>Teach me Agentic system architecture interview patterns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</si>
  <si>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Agentic system architecture interview patterns.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</si>
  <si>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Agentic system architecture interview patterns in the AI-Learning-Agents repository and test it.</t>
  </si>
  <si>
    <t>Working code/demo + tests/notes + a clear interview explanation of Agentic system architecture interview patterns.</t>
  </si>
  <si>
    <t>Explain Agentic system architecture interview patterns, why it is used, alternatives, trade-offs, failure modes and how you implemented/would implement it.</t>
  </si>
  <si>
    <t>P095</t>
  </si>
  <si>
    <t>Scalability and distributed-system trade-offs</t>
  </si>
  <si>
    <t>Teach me Scalability and distributed-system trade-offs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</si>
  <si>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Scalability and distributed-system trade-offs.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</si>
  <si>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Scalability and distributed-system trade-offs in the AI-Learning-Agents repository and test it.</t>
  </si>
  <si>
    <t>Working code/demo + tests/notes + a clear interview explanation of Scalability and distributed-system trade-offs.</t>
  </si>
  <si>
    <t>Explain Scalability and distributed-system trade-offs, why it is used, alternatives, trade-offs, failure modes and how you implemented/would implement it.</t>
  </si>
  <si>
    <t>P096</t>
  </si>
  <si>
    <t>Security architecture for LLM systems</t>
  </si>
  <si>
    <t>Teach me Security architecture for LLM systems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</si>
  <si>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Security architecture for LLM systems.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</si>
  <si>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Security architecture for LLM systems in the AI-Learning-Agents repository and test it.</t>
  </si>
  <si>
    <t>Working code/demo + tests/notes + a clear interview explanation of Security architecture for LLM systems.</t>
  </si>
  <si>
    <t>Explain Security architecture for LLM systems, why it is used, alternatives, trade-offs, failure modes and how you implemented/would implement it.</t>
  </si>
  <si>
    <t>P097</t>
  </si>
  <si>
    <t>Cost/latency/quality trade-offs</t>
  </si>
  <si>
    <t>Teach me Cost/latency/quality trade-offs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</si>
  <si>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Cost/latency/quality trade-offs.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</si>
  <si>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Cost/latency/quality trade-offs in the AI-Learning-Agents repository and test it.</t>
  </si>
  <si>
    <t>Working code/demo + tests/notes + a clear interview explanation of Cost/latency/quality trade-offs.</t>
  </si>
  <si>
    <t>Explain Cost/latency/quality trade-offs, why it is used, alternatives, trade-offs, failure modes and how you implemented/would implement it.</t>
  </si>
  <si>
    <t>P098</t>
  </si>
  <si>
    <t>Design an enterprise AI assistant</t>
  </si>
  <si>
    <t>Teach me Design an enterprise AI assistant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</si>
  <si>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Design an enterprise AI assistant.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</si>
  <si>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Design an enterprise AI assistant in the AI-Learning-Agents repository and test it.</t>
  </si>
  <si>
    <t>Working code/demo + tests/notes + a clear interview explanation of Design an enterprise AI assistant.</t>
  </si>
  <si>
    <t>Explain Design an enterprise AI assistant, why it is used, alternatives, trade-offs, failure modes and how you implemented/would implement it.</t>
  </si>
  <si>
    <t>P099</t>
  </si>
  <si>
    <t>Design a multi-agent enterprise platform</t>
  </si>
  <si>
    <t>Teach me Design a multi-agent enterprise platform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</si>
  <si>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Design a multi-agent enterprise platform.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</si>
  <si>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Design a multi-agent enterprise platform in the AI-Learning-Agents repository and test it.</t>
  </si>
  <si>
    <t>Working code/demo + tests/notes + a clear interview explanation of Design a multi-agent enterprise platform.</t>
  </si>
  <si>
    <t>Explain Design a multi-agent enterprise platform, why it is used, alternatives, trade-offs, failure modes and how you implemented/would implement it.</t>
  </si>
  <si>
    <t>P100</t>
  </si>
  <si>
    <t>Capstone</t>
  </si>
  <si>
    <t>Build production-style AI Agent with multiple tools</t>
  </si>
  <si>
    <t>Teach me Build production-style AI Agent with multiple tools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</si>
  <si>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Build production-style AI Agent with multiple tools.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</si>
  <si>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Build production-style AI Agent with multiple tools in the AI-Learning-Agents repository and test it.</t>
  </si>
  <si>
    <t>Working code/demo + tests/notes + a clear interview explanation of Build production-style AI Agent with multiple tools.</t>
  </si>
  <si>
    <t>Explain Build production-style AI Agent with multiple tools, why it is used, alternatives, trade-offs, failure modes and how you implemented/would implement it.</t>
  </si>
  <si>
    <t>P101</t>
  </si>
  <si>
    <t>Add Gemini/OpenAI/Claude provider switching</t>
  </si>
  <si>
    <t>Teach me Add Gemini/OpenAI/Claude provider switching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</si>
  <si>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Add Gemini/OpenAI/Claude provider switching.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</si>
  <si>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Add Gemini/OpenAI/Claude provider switching in the AI-Learning-Agents repository and test it.</t>
  </si>
  <si>
    <t>Working code/demo + tests/notes + a clear interview explanation of Add Gemini/OpenAI/Claude provider switching.</t>
  </si>
  <si>
    <t>Explain Add Gemini/OpenAI/Claude provider switching, why it is used, alternatives, trade-offs, failure modes and how you implemented/would implement it.</t>
  </si>
  <si>
    <t>P102</t>
  </si>
  <si>
    <t>Add RAG + memory + MCP</t>
  </si>
  <si>
    <t>Teach me Add RAG + memory + MCP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</si>
  <si>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Add RAG + memory + MCP.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</si>
  <si>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Add RAG + memory + MCP in the AI-Learning-Agents repository and test it.</t>
  </si>
  <si>
    <t>Working code/demo + tests/notes + a clear interview explanation of Add RAG + memory + MCP.</t>
  </si>
  <si>
    <t>Explain Add RAG + memory + MCP, why it is used, alternatives, trade-offs, failure modes and how you implemented/would implement it.</t>
  </si>
  <si>
    <t>P103</t>
  </si>
  <si>
    <t>Add observability, evaluation and guardrails</t>
  </si>
  <si>
    <t>Teach me Add observability, evaluation and guardrails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</si>
  <si>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Add observability, evaluation and guardrails.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</si>
  <si>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Add observability, evaluation and guardrails in the AI-Learning-Agents repository and test it.</t>
  </si>
  <si>
    <t>Working code/demo + tests/notes + a clear interview explanation of Add observability, evaluation and guardrails.</t>
  </si>
  <si>
    <t>Explain Add observability, evaluation and guardrails, why it is used, alternatives, trade-offs, failure modes and how you implemented/would implement it.</t>
  </si>
  <si>
    <t>P104</t>
  </si>
  <si>
    <t>Deploy and document the solution</t>
  </si>
  <si>
    <t>Teach me Deploy and document the solution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</si>
  <si>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Deploy and document the solution.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</si>
  <si>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Deploy and document the solution in the AI-Learning-Agents repository and test it.</t>
  </si>
  <si>
    <t>Working code/demo + tests/notes + a clear interview explanation of Deploy and document the solution.</t>
  </si>
  <si>
    <t>Explain Deploy and document the solution, why it is used, alternatives, trade-offs, failure modes and how you implemented/would implement it.</t>
  </si>
  <si>
    <t>P105</t>
  </si>
  <si>
    <t>Interview Preparation</t>
  </si>
  <si>
    <t>Python coding interview patterns</t>
  </si>
  <si>
    <t>Teach me Python coding interview patterns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</si>
  <si>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Python coding interview patterns.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</si>
  <si>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Python coding interview patterns in the AI-Learning-Agents repository and test it.</t>
  </si>
  <si>
    <t>Working code/demo + tests/notes + a clear interview explanation of Python coding interview patterns.</t>
  </si>
  <si>
    <t>Explain Python coding interview patterns, why it is used, alternatives, trade-offs, failure modes and how you implemented/would implement it.</t>
  </si>
  <si>
    <t>P106</t>
  </si>
  <si>
    <t>FastAPI/backend interview questions</t>
  </si>
  <si>
    <t>Teach me FastAPI/backend interview questions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</si>
  <si>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FastAPI/backend interview questions.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</si>
  <si>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FastAPI/backend interview questions in the AI-Learning-Agents repository and test it.</t>
  </si>
  <si>
    <t>Working code/demo + tests/notes + a clear interview explanation of FastAPI/backend interview questions.</t>
  </si>
  <si>
    <t>Explain FastAPI/backend interview questions, why it is used, alternatives, trade-offs, failure modes and how you implemented/would implement it.</t>
  </si>
  <si>
    <t>P107</t>
  </si>
  <si>
    <t>LLM/GenAI interview questions</t>
  </si>
  <si>
    <t>Teach me LLM/GenAI interview questions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</si>
  <si>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LLM/GenAI interview questions.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</si>
  <si>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LLM/GenAI interview questions in the AI-Learning-Agents repository and test it.</t>
  </si>
  <si>
    <t>Working code/demo + tests/notes + a clear interview explanation of LLM/GenAI interview questions.</t>
  </si>
  <si>
    <t>Explain LLM/GenAI interview questions, why it is used, alternatives, trade-offs, failure modes and how you implemented/would implement it.</t>
  </si>
  <si>
    <t>P108</t>
  </si>
  <si>
    <t>Agentic AI architecture interview questions</t>
  </si>
  <si>
    <t>Teach me Agentic AI architecture interview questions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</si>
  <si>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Agentic AI architecture interview questions.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</si>
  <si>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Agentic AI architecture interview questions in the AI-Learning-Agents repository and test it.</t>
  </si>
  <si>
    <t>Working code/demo + tests/notes + a clear interview explanation of Agentic AI architecture interview questions.</t>
  </si>
  <si>
    <t>Explain Agentic AI architecture interview questions, why it is used, alternatives, trade-offs, failure modes and how you implemented/would implement it.</t>
  </si>
  <si>
    <t>P109</t>
  </si>
  <si>
    <t>RAG/MCP/tool-calling interview questions</t>
  </si>
  <si>
    <t>Teach me RAG/MCP/tool-calling interview questions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</si>
  <si>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RAG/MCP/tool-calling interview questions.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</si>
  <si>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RAG/MCP/tool-calling interview questions in the AI-Learning-Agents repository and test it.</t>
  </si>
  <si>
    <t>Working code/demo + tests/notes + a clear interview explanation of RAG/MCP/tool-calling interview questions.</t>
  </si>
  <si>
    <t>Explain RAG/MCP/tool-calling interview questions, why it is used, alternatives, trade-offs, failure modes and how you implemented/would implement it.</t>
  </si>
  <si>
    <t>P110</t>
  </si>
  <si>
    <t>System design mock interviews</t>
  </si>
  <si>
    <t>Teach me System design mock interviews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</si>
  <si>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System design mock interviews.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</si>
  <si>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System design mock interviews in the AI-Learning-Agents repository and test it.</t>
  </si>
  <si>
    <t>Working code/demo + tests/notes + a clear interview explanation of System design mock interviews.</t>
  </si>
  <si>
    <t>Explain System design mock interviews, why it is used, alternatives, trade-offs, failure modes and how you implemented/would implement it.</t>
  </si>
  <si>
    <t>P111</t>
  </si>
  <si>
    <t>Behavioral/leadership stories for AI architect roles</t>
  </si>
  <si>
    <t>Teach me Behavioral/leadership stories for AI architect roles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</si>
  <si>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Behavioral/leadership stories for AI architect roles.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</si>
  <si>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Behavioral/leadership stories for AI architect roles in the AI-Learning-Agents repository and test it.</t>
  </si>
  <si>
    <t>Working code/demo + tests/notes + a clear interview explanation of Behavioral/leadership stories for AI architect roles.</t>
  </si>
  <si>
    <t>Explain Behavioral/leadership stories for AI architect roles, why it is used, alternatives, trade-offs, failure modes and how you implemented/would implement it.</t>
  </si>
  <si>
    <t>P112</t>
  </si>
  <si>
    <t>Final end-to-end mock interview and portfolio walkthrough</t>
  </si>
  <si>
    <t>Teach me Final end-to-end mock interview and portfolio walkthrough as part of an enterprise AI Agent Engineering course. Assume I am an experienced full-stack technical lead moving toward AI Engineer, FDE and Solution Architect roles. Use minimal theory, practical Python examples, architecture, debugging, common mistakes and interview relevance.</t>
  </si>
  <si>
    <t>Create a detailed learning session for Final end-to-end mock interview and portfolio walkthrough. Start with a simple mental model, then architecture and terminology. Use Python/FastAPI/LLM/agent examples where relevant. Show production-quality code incrementally and explain important lines. Include debugging steps, hands-on exercise, expected output, tests, failure cases, security/performance considerations, 3 beginner, 3 intermediate and 3 advanced interview questions, plus a mini challenge. Finish with a revision sheet and interview explanation.</t>
  </si>
  <si>
    <t>Implement or demonstrate Final end-to-end mock interview and portfolio walkthrough in the AI-Learning-Agents repository and test it.</t>
  </si>
  <si>
    <t>Working code/demo + tests/notes + a clear interview explanation of Final end-to-end mock interview and portfolio walkthrough.</t>
  </si>
  <si>
    <t>Explain Final end-to-end mock interview and portfolio walkthrough, why it is used, alternatives, trade-offs, failure modes and how you implemented/would implement it.</t>
  </si>
  <si>
    <t>Prompt Type</t>
  </si>
  <si>
    <t>Reusable Prompt</t>
  </si>
  <si>
    <t>Use When</t>
  </si>
  <si>
    <t>Expected Output</t>
  </si>
  <si>
    <t>Overview Lesson</t>
  </si>
  <si>
    <t>Teach me [TOPIC] as part of my AI Agent Engineering course. Use minimal theory, practical Python examples, architecture, debugging, common mistakes and interview questions.</t>
  </si>
  <si>
    <t>Starting a topic</t>
  </si>
  <si>
    <t>Structured lesson + code + interview prep</t>
  </si>
  <si>
    <t>Deep Dive</t>
  </si>
  <si>
    <t>Deep dive into [TOPIC]. Explain mental model, internal flow, production design, trade-offs, failure modes, security, performance and testing. Explain important code line by line.</t>
  </si>
  <si>
    <t>Going deeper</t>
  </si>
  <si>
    <t>Advanced implementation lesson</t>
  </si>
  <si>
    <t>Code Review</t>
  </si>
  <si>
    <t>Review my implementation of [TOPIC]. Identify correctness, architecture, security, performance, maintainability and interview concerns. Suggest minimal changes first, then ideal production design.</t>
  </si>
  <si>
    <t>After coding</t>
  </si>
  <si>
    <t>Actionable review</t>
  </si>
  <si>
    <t>Debugging</t>
  </si>
  <si>
    <t>Help me debug [ERROR/BEHAVIOR]. Guide me step-by-step using breakpoints, variables, call stack, F10/F11, logs and tests. Do not jump directly to the final fix.</t>
  </si>
  <si>
    <t>When stuck</t>
  </si>
  <si>
    <t>Guided debugging session</t>
  </si>
  <si>
    <t>Architecture Interview</t>
  </si>
  <si>
    <t>Ask me a senior-level system design question involving [TOPIC]. Let me answer first, then evaluate scalability, reliability, security, cost, observability and trade-offs.</t>
  </si>
  <si>
    <t>Interview practice</t>
  </si>
  <si>
    <t>Score + feedback + model answer</t>
  </si>
  <si>
    <t>Agent Interview</t>
  </si>
  <si>
    <t>Interview me on Agentic AI, tool calling, orchestration, memory, RAG and MCP. Ask one question at a time and adapt difficulty.</t>
  </si>
  <si>
    <t>Agentic AI interview</t>
  </si>
  <si>
    <t>Interactive mock interview</t>
  </si>
  <si>
    <t>Revision</t>
  </si>
  <si>
    <t>Create a one-page revision sheet for [TOPIC] with definitions, architecture, code patterns, mistakes, trade-offs and likely interview questions.</t>
  </si>
  <si>
    <t>Before interview</t>
  </si>
  <si>
    <t>Cheat sheet</t>
  </si>
  <si>
    <t>Project Challenge</t>
  </si>
  <si>
    <t>Give me an enterprise mini-project using [TOPIC]. Define requirements, acceptance criteria, constraints, tests and interview discussion points. Do not give the solution until I attempt it.</t>
  </si>
  <si>
    <t>Hands-on learning</t>
  </si>
  <si>
    <t>Project challenge</t>
  </si>
  <si>
    <t>Interview Area</t>
  </si>
  <si>
    <t>Must Explain</t>
  </si>
  <si>
    <t>Must Code/Design</t>
  </si>
  <si>
    <t>Typical Senior Question</t>
  </si>
  <si>
    <t>Course Evidence</t>
  </si>
  <si>
    <t>Python</t>
  </si>
  <si>
    <t>Syntax, typing, exceptions, async, testing, debugging</t>
  </si>
  <si>
    <t>Backend service + tests</t>
  </si>
  <si>
    <t>How would you structure maintainable Python?</t>
  </si>
  <si>
    <t>Routing, validation, DI, async, middleware</t>
  </si>
  <si>
    <t>Production API</t>
  </si>
  <si>
    <t>How do you design a scalable FastAPI service?</t>
  </si>
  <si>
    <t>LLM</t>
  </si>
  <si>
    <t>Tokens, context, prompting, structured output, trade-offs</t>
  </si>
  <si>
    <t>Provider integration</t>
  </si>
  <si>
    <t>How do you choose a model?</t>
  </si>
  <si>
    <t>Multi-LLM</t>
  </si>
  <si>
    <t>Abstraction, factory, configuration, fallback</t>
  </si>
  <si>
    <t>Provider switching</t>
  </si>
  <si>
    <t>How would you support multiple vendors?</t>
  </si>
  <si>
    <t>Agents</t>
  </si>
  <si>
    <t>Agent loop, state, planning/execution</t>
  </si>
  <si>
    <t>Tool-using agent</t>
  </si>
  <si>
    <t>What makes a system an agent?</t>
  </si>
  <si>
    <t>Schemas, selection, execution, validation</t>
  </si>
  <si>
    <t>Multi-tool loop</t>
  </si>
  <si>
    <t>Who executes an LLM tool call?</t>
  </si>
  <si>
    <t>Memory</t>
  </si>
  <si>
    <t>Context, state, long-term memory</t>
  </si>
  <si>
    <t>Memory strategy</t>
  </si>
  <si>
    <t>How do you prevent context explosion?</t>
  </si>
  <si>
    <t>Chunking, embeddings, retrieval, grounding, evaluation</t>
  </si>
  <si>
    <t>RAG pipeline</t>
  </si>
  <si>
    <t>How do you improve poor retrieval?</t>
  </si>
  <si>
    <t>MCP</t>
  </si>
  <si>
    <t>Protocol, server/client, tools/resources</t>
  </si>
  <si>
    <t>MCP server/client</t>
  </si>
  <si>
    <t>Why MCP over custom integrations?</t>
  </si>
  <si>
    <t>Parallelism, retries, routing, approval, async</t>
  </si>
  <si>
    <t>Reliable workflow</t>
  </si>
  <si>
    <t>How do you make an agent reliable?</t>
  </si>
  <si>
    <t>Evaluation</t>
  </si>
  <si>
    <t>Tracing, quality, safety, cost</t>
  </si>
  <si>
    <t>Eval/observability</t>
  </si>
  <si>
    <t>How do you measure an agent?</t>
  </si>
  <si>
    <t>Production</t>
  </si>
  <si>
    <t>Security, auth, secrets, rate limits, cloud</t>
  </si>
  <si>
    <t>Deploy architecture</t>
  </si>
  <si>
    <t>How do you productionize an AI agent?</t>
  </si>
  <si>
    <t>AI SDLC</t>
  </si>
  <si>
    <t>Claude Code, hooks, plugins, MCP</t>
  </si>
  <si>
    <t>AI-assisted workflow</t>
  </si>
  <si>
    <t>How do you safely use coding agents?</t>
  </si>
  <si>
    <t>System Design</t>
  </si>
  <si>
    <t>Scalability, security, cost, reliability</t>
  </si>
  <si>
    <t>Enterprise architecture</t>
  </si>
  <si>
    <t>Design a multi-agent platform.</t>
  </si>
  <si>
    <t>Leadership</t>
  </si>
  <si>
    <t>Technical decisions, mentoring, delivery</t>
  </si>
  <si>
    <t>Architecture presentation</t>
  </si>
  <si>
    <t>Tell me about a difficult technical decision.</t>
  </si>
  <si>
    <t>Milestone</t>
  </si>
  <si>
    <t>Requirement</t>
  </si>
  <si>
    <t>Evidence</t>
  </si>
  <si>
    <t>Interview Story</t>
  </si>
  <si>
    <t>FastAPI backend with clean architecture</t>
  </si>
  <si>
    <t>Provider-neutral LLMService + Factory</t>
  </si>
  <si>
    <t>Gemini/OpenAI/Claude provider implementations</t>
  </si>
  <si>
    <t>User-selectable LLM provider</t>
  </si>
  <si>
    <t>Tool Registry + multiple tools</t>
  </si>
  <si>
    <t>Full tool-call loop with final LLM response</t>
  </si>
  <si>
    <t>Conversation state + memory</t>
  </si>
  <si>
    <t>RAG with citations and evaluation</t>
  </si>
  <si>
    <t>MCP integration</t>
  </si>
  <si>
    <t>Parallel/async orchestration with retries</t>
  </si>
  <si>
    <t>Observability + evaluation + cost tracking</t>
  </si>
  <si>
    <t>Security, auth, secrets and guardrails</t>
  </si>
  <si>
    <t>Cloud deployment + CI/CD</t>
  </si>
  <si>
    <t>Architecture documentation + demo</t>
  </si>
  <si>
    <t>Final system-design walkthrough</t>
  </si>
  <si>
    <t>What You Should Achieve at the End</t>
  </si>
  <si>
    <t>Python Engineer</t>
  </si>
  <si>
    <t>Build, test and debug Python/FastAPI services confidently.</t>
  </si>
  <si>
    <t>LLM Engineer</t>
  </si>
  <si>
    <t>Explain and implement LLM integrations, prompting and structured outputs.</t>
  </si>
  <si>
    <t>Agent Engineer</t>
  </si>
  <si>
    <t>Build agents that reason about tool use and execute tools safely.</t>
  </si>
  <si>
    <t>Multi-LLM Engineer</t>
  </si>
  <si>
    <t>Switch between Gemini, OpenAI and Claude using clean abstractions.</t>
  </si>
  <si>
    <t>RAG Engineer</t>
  </si>
  <si>
    <t>Build grounded retrieval systems and evaluate retrieval quality.</t>
  </si>
  <si>
    <t>MCP Engineer</t>
  </si>
  <si>
    <t>Build and integrate MCP servers/clients and secure tool access.</t>
  </si>
  <si>
    <t>Orchestration Engineer</t>
  </si>
  <si>
    <t>Design reliable multi-step, parallel and asynchronous workflows.</t>
  </si>
  <si>
    <t>AI Platform Engineer</t>
  </si>
  <si>
    <t>Add observability, evaluation, cost controls, security and deployment.</t>
  </si>
  <si>
    <t>AI Architect</t>
  </si>
  <si>
    <t>Defend architecture decisions with scalability, reliability, security and cost trade-offs.</t>
  </si>
  <si>
    <t>Interview Ready</t>
  </si>
  <si>
    <t>Answer coding, GenAI, agentic AI, RAG, MCP and system-design questions with practical examples.</t>
  </si>
  <si>
    <t>Portfolio Ready</t>
  </si>
  <si>
    <t>Demonstrate and explain a production-style AI Agent platform end-to-end.</t>
  </si>
  <si>
    <t>Important</t>
  </si>
  <si>
    <t>No course can literally guarantee any interview outcome. The goal is strong preparation: you should be able to explain, code, debug, design and defend the core topics expected in senior AI Engineer / FDE / Solution Architect interviews.</t>
  </si>
  <si>
    <t>Week</t>
  </si>
  <si>
    <t>Focus</t>
  </si>
  <si>
    <t>Topics</t>
  </si>
  <si>
    <t>Interview Practice</t>
  </si>
  <si>
    <t>Python core</t>
  </si>
  <si>
    <t>P01-P05</t>
  </si>
  <si>
    <t>Python exercises + clean package structure</t>
  </si>
  <si>
    <t>Python fundamentals</t>
  </si>
  <si>
    <t>Python engineering</t>
  </si>
  <si>
    <t>P06-P10</t>
  </si>
  <si>
    <t>Tests, config and debugging workflow</t>
  </si>
  <si>
    <t>Python debugging</t>
  </si>
  <si>
    <t>P11-P16</t>
  </si>
  <si>
    <t>Production-style API</t>
  </si>
  <si>
    <t>Backend design</t>
  </si>
  <si>
    <t>LLM fundamentals</t>
  </si>
  <si>
    <t>P17-P22</t>
  </si>
  <si>
    <t>Prompt and structured-output experiments</t>
  </si>
  <si>
    <t>LLM concepts</t>
  </si>
  <si>
    <t>Provider architecture</t>
  </si>
  <si>
    <t>P23-P30</t>
  </si>
  <si>
    <t>Gemini/OpenAI/Claude abstraction</t>
  </si>
  <si>
    <t>Multi-LLM design</t>
  </si>
  <si>
    <t>Agent fundamentals</t>
  </si>
  <si>
    <t>P31-P37</t>
  </si>
  <si>
    <t>Agent architecture document</t>
  </si>
  <si>
    <t>Agent vs workflow</t>
  </si>
  <si>
    <t>Tool calling</t>
  </si>
  <si>
    <t>P38-P43</t>
  </si>
  <si>
    <t>Tool Registry + calculator</t>
  </si>
  <si>
    <t>Function calling</t>
  </si>
  <si>
    <t>Advanced tools</t>
  </si>
  <si>
    <t>P44-P47</t>
  </si>
  <si>
    <t>Multi-tool agent loop</t>
  </si>
  <si>
    <t>Tool orchestration</t>
  </si>
  <si>
    <t>P48-P53</t>
  </si>
  <si>
    <t>Session/context design</t>
  </si>
  <si>
    <t>Memory architecture</t>
  </si>
  <si>
    <t>P54-P60</t>
  </si>
  <si>
    <t>Working RAG prototype</t>
  </si>
  <si>
    <t>RAG interview</t>
  </si>
  <si>
    <t>P61-P66</t>
  </si>
  <si>
    <t>MCP demo</t>
  </si>
  <si>
    <t>MCP interview</t>
  </si>
  <si>
    <t>P67-P73</t>
  </si>
  <si>
    <t>Parallel/retry/approval workflow</t>
  </si>
  <si>
    <t>Reliability</t>
  </si>
  <si>
    <t>P74-P80</t>
  </si>
  <si>
    <t>Tracing + evaluation</t>
  </si>
  <si>
    <t>Quality measurement</t>
  </si>
  <si>
    <t>P81-P88</t>
  </si>
  <si>
    <t>Cloud-ready architecture</t>
  </si>
  <si>
    <t>System design</t>
  </si>
  <si>
    <t>P89-P93</t>
  </si>
  <si>
    <t>Claude Code/MCP workflow</t>
  </si>
  <si>
    <t>Architecture</t>
  </si>
  <si>
    <t>P94-P99</t>
  </si>
  <si>
    <t>Enterprise case study</t>
  </si>
  <si>
    <t>P100-P104</t>
  </si>
  <si>
    <t>Complete portfolio project</t>
  </si>
  <si>
    <t>Project walkthrough</t>
  </si>
  <si>
    <t>Interview</t>
  </si>
  <si>
    <t>P105-P112</t>
  </si>
  <si>
    <t>Mock interviews + revision</t>
  </si>
  <si>
    <t>Final interview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</si>
</sst>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1F4E78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9" fontId="0" fillId="0" borderId="0" xfId="0" applyNumberFormat="1"/>
    <xf numFmtId="0" fontId="0" fillId="3" borderId="0" xfId="0" applyFill="1"/>
    <xf numFmtId="0" fontId="1" fillId="2" borderId="0" xfId="0" applyFont="1" applyFill="1"/>
    <xf numFmtId="0" fontId="3" fillId="4" borderId="0" xfId="0" applyFont="1" applyFill="1"/>
    <xf numFmtId="0" fontId="2" fillId="0" borderId="0" xfId="0" applyFont="1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Topics by Phase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Dashboard!$B$13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Dashboard!$A$14:$A$29</c:f>
              <c:strCache>
                <c:ptCount val="16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  <c:pt idx="3">
                  <c:v>Phase 4</c:v>
                </c:pt>
                <c:pt idx="4">
                  <c:v>Phase 5</c:v>
                </c:pt>
                <c:pt idx="5">
                  <c:v>Phase 6</c:v>
                </c:pt>
                <c:pt idx="6">
                  <c:v>Phase 7</c:v>
                </c:pt>
                <c:pt idx="7">
                  <c:v>Phase 8</c:v>
                </c:pt>
                <c:pt idx="8">
                  <c:v>Phase 9</c:v>
                </c:pt>
                <c:pt idx="9">
                  <c:v>Phase 10</c:v>
                </c:pt>
                <c:pt idx="10">
                  <c:v>Phase 11</c:v>
                </c:pt>
                <c:pt idx="11">
                  <c:v>Phase 12</c:v>
                </c:pt>
                <c:pt idx="12">
                  <c:v>Phase 13</c:v>
                </c:pt>
                <c:pt idx="13">
                  <c:v>Phase 14</c:v>
                </c:pt>
                <c:pt idx="14">
                  <c:v>Phase 15</c:v>
                </c:pt>
                <c:pt idx="15">
                  <c:v>Phase 16</c:v>
                </c:pt>
              </c:strCache>
            </c:strRef>
          </c:cat>
          <c:val>
            <c:numRef>
              <c:f>Dashboard!$B$14:$B$29</c:f>
              <c:numCache>
                <c:formatCode>General</c:formatCode>
                <c:ptCount val="16"/>
                <c:pt idx="0">
                  <c:v>10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7</c:v>
                </c:pt>
                <c:pt idx="5">
                  <c:v>10</c:v>
                </c:pt>
                <c:pt idx="6">
                  <c:v>6</c:v>
                </c:pt>
                <c:pt idx="7">
                  <c:v>7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5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4-41A1-868D-59F643738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Phase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Topics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topLeftCell="A10" workbookViewId="0">
      <pane xSplit="1" topLeftCell="I1" activePane="topRight" state="frozen"/>
      <selection pane="topRight" activeCell="L11" sqref="L11"/>
    </sheetView>
  </sheetViews>
  <sheetFormatPr defaultRowHeight="15" x14ac:dyDescent="0.25"/>
  <cols>
    <col min="1" max="1" width="8" customWidth="1"/>
    <col min="2" max="2" width="12" customWidth="1"/>
    <col min="3" max="3" width="26" customWidth="1"/>
    <col min="4" max="4" width="44" customWidth="1"/>
    <col min="5" max="5" width="10" customWidth="1"/>
    <col min="6" max="6" width="14" customWidth="1"/>
    <col min="7" max="7" width="58" customWidth="1"/>
    <col min="8" max="8" width="78" customWidth="1"/>
    <col min="9" max="9" width="55" customWidth="1"/>
    <col min="10" max="10" width="45" customWidth="1"/>
    <col min="11" max="11" width="58" customWidth="1"/>
    <col min="12" max="12" width="15" customWidth="1"/>
    <col min="13" max="13" width="18" customWidth="1"/>
    <col min="14" max="15" width="12" customWidth="1"/>
    <col min="16" max="16" width="28" customWidth="1"/>
  </cols>
  <sheetData>
    <row r="1" spans="1:16" ht="30" x14ac:dyDescent="0.25">
      <c r="A1" s="1" t="s">
        <v>29</v>
      </c>
      <c r="B1" s="1" t="s">
        <v>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</row>
    <row r="2" spans="1:16" ht="105" x14ac:dyDescent="0.25">
      <c r="A2" s="2" t="s">
        <v>44</v>
      </c>
      <c r="B2" s="2" t="s">
        <v>13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  <c r="I2" s="2" t="s">
        <v>51</v>
      </c>
      <c r="J2" s="2" t="s">
        <v>52</v>
      </c>
      <c r="K2" s="2" t="s">
        <v>53</v>
      </c>
      <c r="L2" s="2" t="s">
        <v>11</v>
      </c>
      <c r="M2" s="2">
        <v>0</v>
      </c>
      <c r="N2" s="2">
        <v>2</v>
      </c>
      <c r="O2" s="2">
        <v>1</v>
      </c>
      <c r="P2" s="2"/>
    </row>
    <row r="3" spans="1:16" ht="105" x14ac:dyDescent="0.25">
      <c r="A3" s="2" t="s">
        <v>55</v>
      </c>
      <c r="B3" s="2" t="s">
        <v>13</v>
      </c>
      <c r="C3" s="2" t="s">
        <v>45</v>
      </c>
      <c r="D3" s="2" t="s">
        <v>56</v>
      </c>
      <c r="E3" s="2" t="s">
        <v>47</v>
      </c>
      <c r="F3" s="2" t="s">
        <v>48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11</v>
      </c>
      <c r="M3" s="2">
        <v>0</v>
      </c>
      <c r="N3" s="2">
        <v>2</v>
      </c>
      <c r="O3" s="2">
        <v>1</v>
      </c>
      <c r="P3" s="2"/>
    </row>
    <row r="4" spans="1:16" ht="105" x14ac:dyDescent="0.25">
      <c r="A4" s="2" t="s">
        <v>62</v>
      </c>
      <c r="B4" s="2" t="s">
        <v>13</v>
      </c>
      <c r="C4" s="2" t="s">
        <v>45</v>
      </c>
      <c r="D4" s="2" t="s">
        <v>63</v>
      </c>
      <c r="E4" s="2" t="s">
        <v>47</v>
      </c>
      <c r="F4" s="2" t="s">
        <v>48</v>
      </c>
      <c r="G4" s="2" t="s">
        <v>64</v>
      </c>
      <c r="H4" s="2" t="s">
        <v>65</v>
      </c>
      <c r="I4" s="2" t="s">
        <v>66</v>
      </c>
      <c r="J4" s="2" t="s">
        <v>67</v>
      </c>
      <c r="K4" s="2" t="s">
        <v>68</v>
      </c>
      <c r="L4" s="2" t="s">
        <v>54</v>
      </c>
      <c r="M4" s="2">
        <v>0</v>
      </c>
      <c r="N4" s="2">
        <v>2</v>
      </c>
      <c r="O4" s="2">
        <v>1</v>
      </c>
      <c r="P4" s="2"/>
    </row>
    <row r="5" spans="1:16" ht="105" x14ac:dyDescent="0.25">
      <c r="A5" s="2" t="s">
        <v>69</v>
      </c>
      <c r="B5" s="2" t="s">
        <v>13</v>
      </c>
      <c r="C5" s="2" t="s">
        <v>45</v>
      </c>
      <c r="D5" s="2" t="s">
        <v>70</v>
      </c>
      <c r="E5" s="2" t="s">
        <v>47</v>
      </c>
      <c r="F5" s="2" t="s">
        <v>48</v>
      </c>
      <c r="G5" s="2" t="s">
        <v>71</v>
      </c>
      <c r="H5" s="2" t="s">
        <v>72</v>
      </c>
      <c r="I5" s="2" t="s">
        <v>73</v>
      </c>
      <c r="J5" s="2" t="s">
        <v>74</v>
      </c>
      <c r="K5" s="2" t="s">
        <v>75</v>
      </c>
      <c r="L5" s="2" t="s">
        <v>54</v>
      </c>
      <c r="M5" s="2">
        <v>0</v>
      </c>
      <c r="N5" s="2">
        <v>2</v>
      </c>
      <c r="O5" s="2">
        <v>1</v>
      </c>
      <c r="P5" s="2"/>
    </row>
    <row r="6" spans="1:16" ht="105" x14ac:dyDescent="0.25">
      <c r="A6" s="2" t="s">
        <v>76</v>
      </c>
      <c r="B6" s="2" t="s">
        <v>13</v>
      </c>
      <c r="C6" s="2" t="s">
        <v>45</v>
      </c>
      <c r="D6" s="2" t="s">
        <v>77</v>
      </c>
      <c r="E6" s="2" t="s">
        <v>47</v>
      </c>
      <c r="F6" s="2" t="s">
        <v>48</v>
      </c>
      <c r="G6" s="2" t="s">
        <v>78</v>
      </c>
      <c r="H6" s="2" t="s">
        <v>79</v>
      </c>
      <c r="I6" s="2" t="s">
        <v>80</v>
      </c>
      <c r="J6" s="2" t="s">
        <v>81</v>
      </c>
      <c r="K6" s="2" t="s">
        <v>82</v>
      </c>
      <c r="L6" s="2" t="s">
        <v>11</v>
      </c>
      <c r="M6" s="2">
        <v>0</v>
      </c>
      <c r="N6" s="2">
        <v>2</v>
      </c>
      <c r="O6" s="2">
        <v>1</v>
      </c>
      <c r="P6" s="2"/>
    </row>
    <row r="7" spans="1:16" ht="105" x14ac:dyDescent="0.25">
      <c r="A7" s="2" t="s">
        <v>83</v>
      </c>
      <c r="B7" s="2" t="s">
        <v>13</v>
      </c>
      <c r="C7" s="2" t="s">
        <v>45</v>
      </c>
      <c r="D7" s="2" t="s">
        <v>84</v>
      </c>
      <c r="E7" s="2" t="s">
        <v>47</v>
      </c>
      <c r="F7" s="2" t="s">
        <v>48</v>
      </c>
      <c r="G7" s="2" t="s">
        <v>85</v>
      </c>
      <c r="H7" s="2" t="s">
        <v>86</v>
      </c>
      <c r="I7" s="2" t="s">
        <v>87</v>
      </c>
      <c r="J7" s="2" t="s">
        <v>88</v>
      </c>
      <c r="K7" s="2" t="s">
        <v>89</v>
      </c>
      <c r="L7" s="2" t="s">
        <v>11</v>
      </c>
      <c r="M7" s="2">
        <v>0</v>
      </c>
      <c r="N7" s="2">
        <v>2</v>
      </c>
      <c r="O7" s="2">
        <v>1</v>
      </c>
      <c r="P7" s="2"/>
    </row>
    <row r="8" spans="1:16" ht="105" x14ac:dyDescent="0.25">
      <c r="A8" s="2" t="s">
        <v>90</v>
      </c>
      <c r="B8" s="2" t="s">
        <v>13</v>
      </c>
      <c r="C8" s="2" t="s">
        <v>45</v>
      </c>
      <c r="D8" s="2" t="s">
        <v>91</v>
      </c>
      <c r="E8" s="2" t="s">
        <v>47</v>
      </c>
      <c r="F8" s="2" t="s">
        <v>48</v>
      </c>
      <c r="G8" s="2" t="s">
        <v>92</v>
      </c>
      <c r="H8" s="2" t="s">
        <v>93</v>
      </c>
      <c r="I8" s="2" t="s">
        <v>94</v>
      </c>
      <c r="J8" s="2" t="s">
        <v>95</v>
      </c>
      <c r="K8" s="2" t="s">
        <v>96</v>
      </c>
      <c r="L8" s="2" t="s">
        <v>54</v>
      </c>
      <c r="M8" s="2">
        <v>0</v>
      </c>
      <c r="N8" s="2">
        <v>2</v>
      </c>
      <c r="O8" s="2">
        <v>2</v>
      </c>
      <c r="P8" s="2"/>
    </row>
    <row r="9" spans="1:16" ht="105" x14ac:dyDescent="0.25">
      <c r="A9" s="2" t="s">
        <v>97</v>
      </c>
      <c r="B9" s="2" t="s">
        <v>13</v>
      </c>
      <c r="C9" s="2" t="s">
        <v>45</v>
      </c>
      <c r="D9" s="2" t="s">
        <v>98</v>
      </c>
      <c r="E9" s="2" t="s">
        <v>47</v>
      </c>
      <c r="F9" s="2" t="s">
        <v>48</v>
      </c>
      <c r="G9" s="2" t="s">
        <v>99</v>
      </c>
      <c r="H9" s="2" t="s">
        <v>100</v>
      </c>
      <c r="I9" s="2" t="s">
        <v>101</v>
      </c>
      <c r="J9" s="2" t="s">
        <v>102</v>
      </c>
      <c r="K9" s="2" t="s">
        <v>103</v>
      </c>
      <c r="L9" s="2" t="s">
        <v>54</v>
      </c>
      <c r="M9" s="2">
        <v>0</v>
      </c>
      <c r="N9" s="2">
        <v>2</v>
      </c>
      <c r="O9" s="2">
        <v>2</v>
      </c>
      <c r="P9" s="2"/>
    </row>
    <row r="10" spans="1:16" ht="105" x14ac:dyDescent="0.25">
      <c r="A10" s="2" t="s">
        <v>104</v>
      </c>
      <c r="B10" s="2" t="s">
        <v>13</v>
      </c>
      <c r="C10" s="2" t="s">
        <v>45</v>
      </c>
      <c r="D10" s="2" t="s">
        <v>105</v>
      </c>
      <c r="E10" s="2" t="s">
        <v>47</v>
      </c>
      <c r="F10" s="2" t="s">
        <v>48</v>
      </c>
      <c r="G10" s="2" t="s">
        <v>106</v>
      </c>
      <c r="H10" s="2" t="s">
        <v>107</v>
      </c>
      <c r="I10" s="2" t="s">
        <v>108</v>
      </c>
      <c r="J10" s="2" t="s">
        <v>109</v>
      </c>
      <c r="K10" s="2" t="s">
        <v>110</v>
      </c>
      <c r="L10" s="2" t="s">
        <v>54</v>
      </c>
      <c r="M10" s="2">
        <v>0</v>
      </c>
      <c r="N10" s="2">
        <v>2</v>
      </c>
      <c r="O10" s="2">
        <v>2</v>
      </c>
      <c r="P10" s="2"/>
    </row>
    <row r="11" spans="1:16" ht="105" x14ac:dyDescent="0.25">
      <c r="A11" s="2" t="s">
        <v>111</v>
      </c>
      <c r="B11" s="2" t="s">
        <v>13</v>
      </c>
      <c r="C11" s="2" t="s">
        <v>45</v>
      </c>
      <c r="D11" s="2" t="s">
        <v>112</v>
      </c>
      <c r="E11" s="2" t="s">
        <v>47</v>
      </c>
      <c r="F11" s="2" t="s">
        <v>48</v>
      </c>
      <c r="G11" s="2" t="s">
        <v>113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</v>
      </c>
      <c r="M11" s="2">
        <v>0</v>
      </c>
      <c r="N11" s="2">
        <v>2</v>
      </c>
      <c r="O11" s="2">
        <v>2</v>
      </c>
      <c r="P11" s="2"/>
    </row>
    <row r="12" spans="1:16" ht="105" x14ac:dyDescent="0.25">
      <c r="A12" s="2" t="s">
        <v>118</v>
      </c>
      <c r="B12" s="2" t="s">
        <v>14</v>
      </c>
      <c r="C12" s="2" t="s">
        <v>119</v>
      </c>
      <c r="D12" s="2" t="s">
        <v>120</v>
      </c>
      <c r="E12" s="2" t="s">
        <v>47</v>
      </c>
      <c r="F12" s="2" t="s">
        <v>121</v>
      </c>
      <c r="G12" s="2" t="s">
        <v>122</v>
      </c>
      <c r="H12" s="2" t="s">
        <v>123</v>
      </c>
      <c r="I12" s="2" t="s">
        <v>124</v>
      </c>
      <c r="J12" s="2" t="s">
        <v>125</v>
      </c>
      <c r="K12" s="2" t="s">
        <v>126</v>
      </c>
      <c r="L12" s="2" t="s">
        <v>11</v>
      </c>
      <c r="M12" s="2">
        <v>0</v>
      </c>
      <c r="N12" s="2">
        <v>2</v>
      </c>
      <c r="O12" s="2">
        <v>2</v>
      </c>
      <c r="P12" s="2"/>
    </row>
    <row r="13" spans="1:16" ht="105" x14ac:dyDescent="0.25">
      <c r="A13" s="2" t="s">
        <v>127</v>
      </c>
      <c r="B13" s="2" t="s">
        <v>14</v>
      </c>
      <c r="C13" s="2" t="s">
        <v>119</v>
      </c>
      <c r="D13" s="2" t="s">
        <v>128</v>
      </c>
      <c r="E13" s="2" t="s">
        <v>47</v>
      </c>
      <c r="F13" s="2" t="s">
        <v>121</v>
      </c>
      <c r="G13" s="2" t="s">
        <v>129</v>
      </c>
      <c r="H13" s="2" t="s">
        <v>130</v>
      </c>
      <c r="I13" s="2" t="s">
        <v>131</v>
      </c>
      <c r="J13" s="2" t="s">
        <v>132</v>
      </c>
      <c r="K13" s="2" t="s">
        <v>133</v>
      </c>
      <c r="L13" s="2" t="s">
        <v>54</v>
      </c>
      <c r="M13" s="2">
        <v>0</v>
      </c>
      <c r="N13" s="2">
        <v>2</v>
      </c>
      <c r="O13" s="2">
        <v>2</v>
      </c>
      <c r="P13" s="2"/>
    </row>
    <row r="14" spans="1:16" ht="105" x14ac:dyDescent="0.25">
      <c r="A14" s="2" t="s">
        <v>134</v>
      </c>
      <c r="B14" s="2" t="s">
        <v>14</v>
      </c>
      <c r="C14" s="2" t="s">
        <v>119</v>
      </c>
      <c r="D14" s="2" t="s">
        <v>135</v>
      </c>
      <c r="E14" s="2" t="s">
        <v>47</v>
      </c>
      <c r="F14" s="2" t="s">
        <v>121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140</v>
      </c>
      <c r="L14" s="2" t="s">
        <v>54</v>
      </c>
      <c r="M14" s="2">
        <v>0</v>
      </c>
      <c r="N14" s="2">
        <v>2</v>
      </c>
      <c r="O14" s="2">
        <v>3</v>
      </c>
      <c r="P14" s="2"/>
    </row>
    <row r="15" spans="1:16" ht="105" x14ac:dyDescent="0.25">
      <c r="A15" s="2" t="s">
        <v>141</v>
      </c>
      <c r="B15" s="2" t="s">
        <v>14</v>
      </c>
      <c r="C15" s="2" t="s">
        <v>119</v>
      </c>
      <c r="D15" s="2" t="s">
        <v>142</v>
      </c>
      <c r="E15" s="2" t="s">
        <v>47</v>
      </c>
      <c r="F15" s="2" t="s">
        <v>121</v>
      </c>
      <c r="G15" s="2" t="s">
        <v>143</v>
      </c>
      <c r="H15" s="2" t="s">
        <v>144</v>
      </c>
      <c r="I15" s="2" t="s">
        <v>145</v>
      </c>
      <c r="J15" s="2" t="s">
        <v>146</v>
      </c>
      <c r="K15" s="2" t="s">
        <v>147</v>
      </c>
      <c r="L15" s="2" t="s">
        <v>11</v>
      </c>
      <c r="M15" s="2">
        <v>0</v>
      </c>
      <c r="N15" s="2">
        <v>2</v>
      </c>
      <c r="O15" s="2">
        <v>3</v>
      </c>
      <c r="P15" s="2"/>
    </row>
    <row r="16" spans="1:16" ht="105" x14ac:dyDescent="0.25">
      <c r="A16" s="2" t="s">
        <v>148</v>
      </c>
      <c r="B16" s="2" t="s">
        <v>14</v>
      </c>
      <c r="C16" s="2" t="s">
        <v>119</v>
      </c>
      <c r="D16" s="2" t="s">
        <v>149</v>
      </c>
      <c r="E16" s="2" t="s">
        <v>47</v>
      </c>
      <c r="F16" s="2" t="s">
        <v>121</v>
      </c>
      <c r="G16" s="2" t="s">
        <v>150</v>
      </c>
      <c r="H16" s="2" t="s">
        <v>151</v>
      </c>
      <c r="I16" s="2" t="s">
        <v>152</v>
      </c>
      <c r="J16" s="2" t="s">
        <v>153</v>
      </c>
      <c r="K16" s="2" t="s">
        <v>154</v>
      </c>
      <c r="L16" s="2" t="s">
        <v>54</v>
      </c>
      <c r="M16" s="2">
        <v>0</v>
      </c>
      <c r="N16" s="2">
        <v>2</v>
      </c>
      <c r="O16" s="2">
        <v>3</v>
      </c>
      <c r="P16" s="2"/>
    </row>
    <row r="17" spans="1:16" ht="105" x14ac:dyDescent="0.25">
      <c r="A17" s="2" t="s">
        <v>155</v>
      </c>
      <c r="B17" s="2" t="s">
        <v>14</v>
      </c>
      <c r="C17" s="2" t="s">
        <v>119</v>
      </c>
      <c r="D17" s="2" t="s">
        <v>156</v>
      </c>
      <c r="E17" s="2" t="s">
        <v>47</v>
      </c>
      <c r="F17" s="2" t="s">
        <v>121</v>
      </c>
      <c r="G17" s="2" t="s">
        <v>157</v>
      </c>
      <c r="H17" s="2" t="s">
        <v>158</v>
      </c>
      <c r="I17" s="2" t="s">
        <v>159</v>
      </c>
      <c r="J17" s="2" t="s">
        <v>160</v>
      </c>
      <c r="K17" s="2" t="s">
        <v>161</v>
      </c>
      <c r="L17" s="2" t="s">
        <v>54</v>
      </c>
      <c r="M17" s="2">
        <v>0</v>
      </c>
      <c r="N17" s="2">
        <v>2</v>
      </c>
      <c r="O17" s="2">
        <v>3</v>
      </c>
      <c r="P17" s="2"/>
    </row>
    <row r="18" spans="1:16" ht="105" x14ac:dyDescent="0.25">
      <c r="A18" s="2" t="s">
        <v>162</v>
      </c>
      <c r="B18" s="2" t="s">
        <v>15</v>
      </c>
      <c r="C18" s="2" t="s">
        <v>163</v>
      </c>
      <c r="D18" s="2" t="s">
        <v>164</v>
      </c>
      <c r="E18" s="2" t="s">
        <v>47</v>
      </c>
      <c r="F18" s="2" t="s">
        <v>121</v>
      </c>
      <c r="G18" s="2" t="s">
        <v>165</v>
      </c>
      <c r="H18" s="2" t="s">
        <v>166</v>
      </c>
      <c r="I18" s="2" t="s">
        <v>167</v>
      </c>
      <c r="J18" s="2" t="s">
        <v>168</v>
      </c>
      <c r="K18" s="2" t="s">
        <v>169</v>
      </c>
      <c r="L18" s="2" t="s">
        <v>54</v>
      </c>
      <c r="M18" s="2">
        <v>0</v>
      </c>
      <c r="N18" s="2">
        <v>2</v>
      </c>
      <c r="O18" s="2">
        <v>3</v>
      </c>
      <c r="P18" s="2"/>
    </row>
    <row r="19" spans="1:16" ht="105" x14ac:dyDescent="0.25">
      <c r="A19" s="2" t="s">
        <v>170</v>
      </c>
      <c r="B19" s="2" t="s">
        <v>15</v>
      </c>
      <c r="C19" s="2" t="s">
        <v>163</v>
      </c>
      <c r="D19" s="2" t="s">
        <v>171</v>
      </c>
      <c r="E19" s="2" t="s">
        <v>47</v>
      </c>
      <c r="F19" s="2" t="s">
        <v>121</v>
      </c>
      <c r="G19" s="2" t="s">
        <v>172</v>
      </c>
      <c r="H19" s="2" t="s">
        <v>173</v>
      </c>
      <c r="I19" s="2" t="s">
        <v>174</v>
      </c>
      <c r="J19" s="2" t="s">
        <v>175</v>
      </c>
      <c r="K19" s="2" t="s">
        <v>176</v>
      </c>
      <c r="L19" s="2" t="s">
        <v>54</v>
      </c>
      <c r="M19" s="2">
        <v>0</v>
      </c>
      <c r="N19" s="2">
        <v>2</v>
      </c>
      <c r="O19" s="2">
        <v>3</v>
      </c>
      <c r="P19" s="2"/>
    </row>
    <row r="20" spans="1:16" ht="105" x14ac:dyDescent="0.25">
      <c r="A20" s="2" t="s">
        <v>177</v>
      </c>
      <c r="B20" s="2" t="s">
        <v>15</v>
      </c>
      <c r="C20" s="2" t="s">
        <v>163</v>
      </c>
      <c r="D20" s="2" t="s">
        <v>178</v>
      </c>
      <c r="E20" s="2" t="s">
        <v>47</v>
      </c>
      <c r="F20" s="2" t="s">
        <v>121</v>
      </c>
      <c r="G20" s="2" t="s">
        <v>179</v>
      </c>
      <c r="H20" s="2" t="s">
        <v>180</v>
      </c>
      <c r="I20" s="2" t="s">
        <v>181</v>
      </c>
      <c r="J20" s="2" t="s">
        <v>182</v>
      </c>
      <c r="K20" s="2" t="s">
        <v>183</v>
      </c>
      <c r="L20" s="2" t="s">
        <v>54</v>
      </c>
      <c r="M20" s="2">
        <v>0</v>
      </c>
      <c r="N20" s="2">
        <v>2</v>
      </c>
      <c r="O20" s="2">
        <v>4</v>
      </c>
      <c r="P20" s="2"/>
    </row>
    <row r="21" spans="1:16" ht="105" x14ac:dyDescent="0.25">
      <c r="A21" s="2" t="s">
        <v>184</v>
      </c>
      <c r="B21" s="2" t="s">
        <v>15</v>
      </c>
      <c r="C21" s="2" t="s">
        <v>163</v>
      </c>
      <c r="D21" s="2" t="s">
        <v>185</v>
      </c>
      <c r="E21" s="2" t="s">
        <v>47</v>
      </c>
      <c r="F21" s="2" t="s">
        <v>121</v>
      </c>
      <c r="G21" s="2" t="s">
        <v>186</v>
      </c>
      <c r="H21" s="2" t="s">
        <v>187</v>
      </c>
      <c r="I21" s="2" t="s">
        <v>188</v>
      </c>
      <c r="J21" s="2" t="s">
        <v>189</v>
      </c>
      <c r="K21" s="2" t="s">
        <v>190</v>
      </c>
      <c r="L21" s="2" t="s">
        <v>54</v>
      </c>
      <c r="M21" s="2">
        <v>0</v>
      </c>
      <c r="N21" s="2">
        <v>2</v>
      </c>
      <c r="O21" s="2">
        <v>4</v>
      </c>
      <c r="P21" s="2"/>
    </row>
    <row r="22" spans="1:16" ht="105" x14ac:dyDescent="0.25">
      <c r="A22" s="2" t="s">
        <v>191</v>
      </c>
      <c r="B22" s="2" t="s">
        <v>15</v>
      </c>
      <c r="C22" s="2" t="s">
        <v>163</v>
      </c>
      <c r="D22" s="2" t="s">
        <v>192</v>
      </c>
      <c r="E22" s="2" t="s">
        <v>47</v>
      </c>
      <c r="F22" s="2" t="s">
        <v>121</v>
      </c>
      <c r="G22" s="2" t="s">
        <v>193</v>
      </c>
      <c r="H22" s="2" t="s">
        <v>194</v>
      </c>
      <c r="I22" s="2" t="s">
        <v>195</v>
      </c>
      <c r="J22" s="2" t="s">
        <v>196</v>
      </c>
      <c r="K22" s="2" t="s">
        <v>197</v>
      </c>
      <c r="L22" s="2" t="s">
        <v>54</v>
      </c>
      <c r="M22" s="2">
        <v>0</v>
      </c>
      <c r="N22" s="2">
        <v>2</v>
      </c>
      <c r="O22" s="2">
        <v>4</v>
      </c>
      <c r="P22" s="2"/>
    </row>
    <row r="23" spans="1:16" ht="105" x14ac:dyDescent="0.25">
      <c r="A23" s="2" t="s">
        <v>198</v>
      </c>
      <c r="B23" s="2" t="s">
        <v>15</v>
      </c>
      <c r="C23" s="2" t="s">
        <v>163</v>
      </c>
      <c r="D23" s="2" t="s">
        <v>199</v>
      </c>
      <c r="E23" s="2" t="s">
        <v>47</v>
      </c>
      <c r="F23" s="2" t="s">
        <v>121</v>
      </c>
      <c r="G23" s="2" t="s">
        <v>200</v>
      </c>
      <c r="H23" s="2" t="s">
        <v>201</v>
      </c>
      <c r="I23" s="2" t="s">
        <v>202</v>
      </c>
      <c r="J23" s="2" t="s">
        <v>203</v>
      </c>
      <c r="K23" s="2" t="s">
        <v>204</v>
      </c>
      <c r="L23" s="2" t="s">
        <v>54</v>
      </c>
      <c r="M23" s="2">
        <v>0</v>
      </c>
      <c r="N23" s="2">
        <v>2</v>
      </c>
      <c r="O23" s="2">
        <v>4</v>
      </c>
      <c r="P23" s="2"/>
    </row>
    <row r="24" spans="1:16" ht="105" x14ac:dyDescent="0.25">
      <c r="A24" s="2" t="s">
        <v>205</v>
      </c>
      <c r="B24" s="2" t="s">
        <v>16</v>
      </c>
      <c r="C24" s="2" t="s">
        <v>206</v>
      </c>
      <c r="D24" s="2" t="s">
        <v>207</v>
      </c>
      <c r="E24" s="2" t="s">
        <v>47</v>
      </c>
      <c r="F24" s="2" t="s">
        <v>121</v>
      </c>
      <c r="G24" s="2" t="s">
        <v>208</v>
      </c>
      <c r="H24" s="2" t="s">
        <v>209</v>
      </c>
      <c r="I24" s="2" t="s">
        <v>210</v>
      </c>
      <c r="J24" s="2" t="s">
        <v>211</v>
      </c>
      <c r="K24" s="2" t="s">
        <v>212</v>
      </c>
      <c r="L24" s="2" t="s">
        <v>11</v>
      </c>
      <c r="M24" s="2">
        <v>0</v>
      </c>
      <c r="N24" s="2">
        <v>2</v>
      </c>
      <c r="O24" s="2">
        <v>4</v>
      </c>
      <c r="P24" s="2"/>
    </row>
    <row r="25" spans="1:16" ht="105" x14ac:dyDescent="0.25">
      <c r="A25" s="2" t="s">
        <v>213</v>
      </c>
      <c r="B25" s="2" t="s">
        <v>16</v>
      </c>
      <c r="C25" s="2" t="s">
        <v>206</v>
      </c>
      <c r="D25" s="2" t="s">
        <v>214</v>
      </c>
      <c r="E25" s="2" t="s">
        <v>47</v>
      </c>
      <c r="F25" s="2" t="s">
        <v>121</v>
      </c>
      <c r="G25" s="2" t="s">
        <v>215</v>
      </c>
      <c r="H25" s="2" t="s">
        <v>216</v>
      </c>
      <c r="I25" s="2" t="s">
        <v>217</v>
      </c>
      <c r="J25" s="2" t="s">
        <v>218</v>
      </c>
      <c r="K25" s="2" t="s">
        <v>219</v>
      </c>
      <c r="L25" s="2" t="s">
        <v>11</v>
      </c>
      <c r="M25" s="2">
        <v>0</v>
      </c>
      <c r="N25" s="2">
        <v>2</v>
      </c>
      <c r="O25" s="2">
        <v>4</v>
      </c>
      <c r="P25" s="2"/>
    </row>
    <row r="26" spans="1:16" ht="105" x14ac:dyDescent="0.25">
      <c r="A26" s="2" t="s">
        <v>220</v>
      </c>
      <c r="B26" s="2" t="s">
        <v>16</v>
      </c>
      <c r="C26" s="2" t="s">
        <v>206</v>
      </c>
      <c r="D26" s="2" t="s">
        <v>221</v>
      </c>
      <c r="E26" s="2" t="s">
        <v>47</v>
      </c>
      <c r="F26" s="2" t="s">
        <v>121</v>
      </c>
      <c r="G26" s="2" t="s">
        <v>222</v>
      </c>
      <c r="H26" s="2" t="s">
        <v>223</v>
      </c>
      <c r="I26" s="2" t="s">
        <v>224</v>
      </c>
      <c r="J26" s="2" t="s">
        <v>225</v>
      </c>
      <c r="K26" s="2" t="s">
        <v>226</v>
      </c>
      <c r="L26" s="2" t="s">
        <v>54</v>
      </c>
      <c r="M26" s="2">
        <v>0</v>
      </c>
      <c r="N26" s="2">
        <v>2</v>
      </c>
      <c r="O26" s="2">
        <v>5</v>
      </c>
      <c r="P26" s="2"/>
    </row>
    <row r="27" spans="1:16" ht="105" x14ac:dyDescent="0.25">
      <c r="A27" s="2" t="s">
        <v>227</v>
      </c>
      <c r="B27" s="2" t="s">
        <v>16</v>
      </c>
      <c r="C27" s="2" t="s">
        <v>206</v>
      </c>
      <c r="D27" s="2" t="s">
        <v>228</v>
      </c>
      <c r="E27" s="2" t="s">
        <v>47</v>
      </c>
      <c r="F27" s="2" t="s">
        <v>121</v>
      </c>
      <c r="G27" s="2" t="s">
        <v>229</v>
      </c>
      <c r="H27" s="2" t="s">
        <v>230</v>
      </c>
      <c r="I27" s="2" t="s">
        <v>231</v>
      </c>
      <c r="J27" s="2" t="s">
        <v>232</v>
      </c>
      <c r="K27" s="2" t="s">
        <v>233</v>
      </c>
      <c r="L27" s="2" t="s">
        <v>54</v>
      </c>
      <c r="M27" s="2">
        <v>0</v>
      </c>
      <c r="N27" s="2">
        <v>2</v>
      </c>
      <c r="O27" s="2">
        <v>5</v>
      </c>
      <c r="P27" s="2"/>
    </row>
    <row r="28" spans="1:16" ht="105" x14ac:dyDescent="0.25">
      <c r="A28" s="2" t="s">
        <v>234</v>
      </c>
      <c r="B28" s="2" t="s">
        <v>16</v>
      </c>
      <c r="C28" s="2" t="s">
        <v>206</v>
      </c>
      <c r="D28" s="2" t="s">
        <v>235</v>
      </c>
      <c r="E28" s="2" t="s">
        <v>47</v>
      </c>
      <c r="F28" s="2" t="s">
        <v>121</v>
      </c>
      <c r="G28" s="2" t="s">
        <v>236</v>
      </c>
      <c r="H28" s="2" t="s">
        <v>237</v>
      </c>
      <c r="I28" s="2" t="s">
        <v>238</v>
      </c>
      <c r="J28" s="2" t="s">
        <v>239</v>
      </c>
      <c r="K28" s="2" t="s">
        <v>240</v>
      </c>
      <c r="L28" s="2" t="s">
        <v>11</v>
      </c>
      <c r="M28" s="2">
        <v>0</v>
      </c>
      <c r="N28" s="2">
        <v>2</v>
      </c>
      <c r="O28" s="2">
        <v>5</v>
      </c>
      <c r="P28" s="2"/>
    </row>
    <row r="29" spans="1:16" ht="105" x14ac:dyDescent="0.25">
      <c r="A29" s="2" t="s">
        <v>241</v>
      </c>
      <c r="B29" s="2" t="s">
        <v>16</v>
      </c>
      <c r="C29" s="2" t="s">
        <v>206</v>
      </c>
      <c r="D29" s="2" t="s">
        <v>242</v>
      </c>
      <c r="E29" s="2" t="s">
        <v>47</v>
      </c>
      <c r="F29" s="2" t="s">
        <v>121</v>
      </c>
      <c r="G29" s="2" t="s">
        <v>243</v>
      </c>
      <c r="H29" s="2" t="s">
        <v>244</v>
      </c>
      <c r="I29" s="2" t="s">
        <v>245</v>
      </c>
      <c r="J29" s="2" t="s">
        <v>246</v>
      </c>
      <c r="K29" s="2" t="s">
        <v>247</v>
      </c>
      <c r="L29" s="2" t="s">
        <v>11</v>
      </c>
      <c r="M29" s="2">
        <v>0</v>
      </c>
      <c r="N29" s="2">
        <v>2</v>
      </c>
      <c r="O29" s="2">
        <v>5</v>
      </c>
      <c r="P29" s="2"/>
    </row>
    <row r="30" spans="1:16" ht="105" x14ac:dyDescent="0.25">
      <c r="A30" s="2" t="s">
        <v>248</v>
      </c>
      <c r="B30" s="2" t="s">
        <v>16</v>
      </c>
      <c r="C30" s="2" t="s">
        <v>206</v>
      </c>
      <c r="D30" s="2" t="s">
        <v>249</v>
      </c>
      <c r="E30" s="2" t="s">
        <v>47</v>
      </c>
      <c r="F30" s="2" t="s">
        <v>121</v>
      </c>
      <c r="G30" s="2" t="s">
        <v>250</v>
      </c>
      <c r="H30" s="2" t="s">
        <v>251</v>
      </c>
      <c r="I30" s="2" t="s">
        <v>252</v>
      </c>
      <c r="J30" s="2" t="s">
        <v>253</v>
      </c>
      <c r="K30" s="2" t="s">
        <v>254</v>
      </c>
      <c r="L30" s="2" t="s">
        <v>11</v>
      </c>
      <c r="M30" s="2">
        <v>0</v>
      </c>
      <c r="N30" s="2">
        <v>2</v>
      </c>
      <c r="O30" s="2">
        <v>5</v>
      </c>
      <c r="P30" s="2"/>
    </row>
    <row r="31" spans="1:16" ht="105" x14ac:dyDescent="0.25">
      <c r="A31" s="2" t="s">
        <v>255</v>
      </c>
      <c r="B31" s="2" t="s">
        <v>16</v>
      </c>
      <c r="C31" s="2" t="s">
        <v>206</v>
      </c>
      <c r="D31" s="2" t="s">
        <v>256</v>
      </c>
      <c r="E31" s="2" t="s">
        <v>47</v>
      </c>
      <c r="F31" s="2" t="s">
        <v>121</v>
      </c>
      <c r="G31" s="2" t="s">
        <v>257</v>
      </c>
      <c r="H31" s="2" t="s">
        <v>258</v>
      </c>
      <c r="I31" s="2" t="s">
        <v>259</v>
      </c>
      <c r="J31" s="2" t="s">
        <v>260</v>
      </c>
      <c r="K31" s="2" t="s">
        <v>261</v>
      </c>
      <c r="L31" s="2" t="s">
        <v>54</v>
      </c>
      <c r="M31" s="2">
        <v>0</v>
      </c>
      <c r="N31" s="2">
        <v>2</v>
      </c>
      <c r="O31" s="2">
        <v>5</v>
      </c>
      <c r="P31" s="2"/>
    </row>
    <row r="32" spans="1:16" ht="105" x14ac:dyDescent="0.25">
      <c r="A32" s="2" t="s">
        <v>262</v>
      </c>
      <c r="B32" s="2" t="s">
        <v>17</v>
      </c>
      <c r="C32" s="2" t="s">
        <v>263</v>
      </c>
      <c r="D32" s="2" t="s">
        <v>264</v>
      </c>
      <c r="E32" s="2" t="s">
        <v>47</v>
      </c>
      <c r="F32" s="2" t="s">
        <v>265</v>
      </c>
      <c r="G32" s="2" t="s">
        <v>266</v>
      </c>
      <c r="H32" s="2" t="s">
        <v>267</v>
      </c>
      <c r="I32" s="2" t="s">
        <v>268</v>
      </c>
      <c r="J32" s="2" t="s">
        <v>269</v>
      </c>
      <c r="K32" s="2" t="s">
        <v>270</v>
      </c>
      <c r="L32" s="2" t="s">
        <v>11</v>
      </c>
      <c r="M32" s="2">
        <v>0</v>
      </c>
      <c r="N32" s="2">
        <v>2</v>
      </c>
      <c r="O32" s="2">
        <v>6</v>
      </c>
      <c r="P32" s="2"/>
    </row>
    <row r="33" spans="1:16" ht="105" x14ac:dyDescent="0.25">
      <c r="A33" s="2" t="s">
        <v>271</v>
      </c>
      <c r="B33" s="2" t="s">
        <v>17</v>
      </c>
      <c r="C33" s="2" t="s">
        <v>263</v>
      </c>
      <c r="D33" s="2" t="s">
        <v>272</v>
      </c>
      <c r="E33" s="2" t="s">
        <v>47</v>
      </c>
      <c r="F33" s="2" t="s">
        <v>265</v>
      </c>
      <c r="G33" s="2" t="s">
        <v>273</v>
      </c>
      <c r="H33" s="2" t="s">
        <v>274</v>
      </c>
      <c r="I33" s="2" t="s">
        <v>275</v>
      </c>
      <c r="J33" s="2" t="s">
        <v>276</v>
      </c>
      <c r="K33" s="2" t="s">
        <v>277</v>
      </c>
      <c r="L33" s="2" t="s">
        <v>11</v>
      </c>
      <c r="M33" s="2">
        <v>0</v>
      </c>
      <c r="N33" s="2">
        <v>2</v>
      </c>
      <c r="O33" s="2">
        <v>6</v>
      </c>
      <c r="P33" s="2"/>
    </row>
    <row r="34" spans="1:16" ht="105" x14ac:dyDescent="0.25">
      <c r="A34" s="2" t="s">
        <v>278</v>
      </c>
      <c r="B34" s="2" t="s">
        <v>17</v>
      </c>
      <c r="C34" s="2" t="s">
        <v>263</v>
      </c>
      <c r="D34" s="2" t="s">
        <v>279</v>
      </c>
      <c r="E34" s="2" t="s">
        <v>47</v>
      </c>
      <c r="F34" s="2" t="s">
        <v>265</v>
      </c>
      <c r="G34" s="2" t="s">
        <v>280</v>
      </c>
      <c r="H34" s="2" t="s">
        <v>281</v>
      </c>
      <c r="I34" s="2" t="s">
        <v>282</v>
      </c>
      <c r="J34" s="2" t="s">
        <v>283</v>
      </c>
      <c r="K34" s="2" t="s">
        <v>284</v>
      </c>
      <c r="L34" s="2" t="s">
        <v>11</v>
      </c>
      <c r="M34" s="2">
        <v>0</v>
      </c>
      <c r="N34" s="2">
        <v>2</v>
      </c>
      <c r="O34" s="2">
        <v>6</v>
      </c>
      <c r="P34" s="2"/>
    </row>
    <row r="35" spans="1:16" ht="105" x14ac:dyDescent="0.25">
      <c r="A35" s="2" t="s">
        <v>285</v>
      </c>
      <c r="B35" s="2" t="s">
        <v>17</v>
      </c>
      <c r="C35" s="2" t="s">
        <v>263</v>
      </c>
      <c r="D35" s="2" t="s">
        <v>286</v>
      </c>
      <c r="E35" s="2" t="s">
        <v>47</v>
      </c>
      <c r="F35" s="2" t="s">
        <v>265</v>
      </c>
      <c r="G35" s="2" t="s">
        <v>287</v>
      </c>
      <c r="H35" s="2" t="s">
        <v>288</v>
      </c>
      <c r="I35" s="2" t="s">
        <v>289</v>
      </c>
      <c r="J35" s="2" t="s">
        <v>290</v>
      </c>
      <c r="K35" s="2" t="s">
        <v>291</v>
      </c>
      <c r="L35" s="2" t="s">
        <v>54</v>
      </c>
      <c r="M35" s="2">
        <v>0</v>
      </c>
      <c r="N35" s="2">
        <v>2</v>
      </c>
      <c r="O35" s="2">
        <v>6</v>
      </c>
      <c r="P35" s="2"/>
    </row>
    <row r="36" spans="1:16" ht="105" x14ac:dyDescent="0.25">
      <c r="A36" s="2" t="s">
        <v>292</v>
      </c>
      <c r="B36" s="2" t="s">
        <v>17</v>
      </c>
      <c r="C36" s="2" t="s">
        <v>263</v>
      </c>
      <c r="D36" s="2" t="s">
        <v>293</v>
      </c>
      <c r="E36" s="2" t="s">
        <v>47</v>
      </c>
      <c r="F36" s="2" t="s">
        <v>265</v>
      </c>
      <c r="G36" s="2" t="s">
        <v>294</v>
      </c>
      <c r="H36" s="2" t="s">
        <v>295</v>
      </c>
      <c r="I36" s="2" t="s">
        <v>296</v>
      </c>
      <c r="J36" s="2" t="s">
        <v>297</v>
      </c>
      <c r="K36" s="2" t="s">
        <v>298</v>
      </c>
      <c r="L36" s="2" t="s">
        <v>54</v>
      </c>
      <c r="M36" s="2">
        <v>0</v>
      </c>
      <c r="N36" s="2">
        <v>2</v>
      </c>
      <c r="O36" s="2">
        <v>6</v>
      </c>
      <c r="P36" s="2"/>
    </row>
    <row r="37" spans="1:16" ht="105" x14ac:dyDescent="0.25">
      <c r="A37" s="2" t="s">
        <v>299</v>
      </c>
      <c r="B37" s="2" t="s">
        <v>17</v>
      </c>
      <c r="C37" s="2" t="s">
        <v>263</v>
      </c>
      <c r="D37" s="2" t="s">
        <v>300</v>
      </c>
      <c r="E37" s="2" t="s">
        <v>47</v>
      </c>
      <c r="F37" s="2" t="s">
        <v>265</v>
      </c>
      <c r="G37" s="2" t="s">
        <v>301</v>
      </c>
      <c r="H37" s="2" t="s">
        <v>302</v>
      </c>
      <c r="I37" s="2" t="s">
        <v>303</v>
      </c>
      <c r="J37" s="2" t="s">
        <v>304</v>
      </c>
      <c r="K37" s="2" t="s">
        <v>305</v>
      </c>
      <c r="L37" s="2" t="s">
        <v>54</v>
      </c>
      <c r="M37" s="2">
        <v>0</v>
      </c>
      <c r="N37" s="2">
        <v>2</v>
      </c>
      <c r="O37" s="2">
        <v>6</v>
      </c>
      <c r="P37" s="2"/>
    </row>
    <row r="38" spans="1:16" ht="105" x14ac:dyDescent="0.25">
      <c r="A38" s="2" t="s">
        <v>306</v>
      </c>
      <c r="B38" s="2" t="s">
        <v>17</v>
      </c>
      <c r="C38" s="2" t="s">
        <v>263</v>
      </c>
      <c r="D38" s="2" t="s">
        <v>307</v>
      </c>
      <c r="E38" s="2" t="s">
        <v>47</v>
      </c>
      <c r="F38" s="2" t="s">
        <v>265</v>
      </c>
      <c r="G38" s="2" t="s">
        <v>308</v>
      </c>
      <c r="H38" s="2" t="s">
        <v>309</v>
      </c>
      <c r="I38" s="2" t="s">
        <v>310</v>
      </c>
      <c r="J38" s="2" t="s">
        <v>311</v>
      </c>
      <c r="K38" s="2" t="s">
        <v>312</v>
      </c>
      <c r="L38" s="2" t="s">
        <v>54</v>
      </c>
      <c r="M38" s="2">
        <v>0</v>
      </c>
      <c r="N38" s="2">
        <v>2</v>
      </c>
      <c r="O38" s="2">
        <v>7</v>
      </c>
      <c r="P38" s="2"/>
    </row>
    <row r="39" spans="1:16" ht="105" x14ac:dyDescent="0.25">
      <c r="A39" s="2" t="s">
        <v>313</v>
      </c>
      <c r="B39" s="2" t="s">
        <v>18</v>
      </c>
      <c r="C39" s="2" t="s">
        <v>314</v>
      </c>
      <c r="D39" s="2" t="s">
        <v>315</v>
      </c>
      <c r="E39" s="2" t="s">
        <v>47</v>
      </c>
      <c r="F39" s="2" t="s">
        <v>265</v>
      </c>
      <c r="G39" s="2" t="s">
        <v>316</v>
      </c>
      <c r="H39" s="2" t="s">
        <v>317</v>
      </c>
      <c r="I39" s="2" t="s">
        <v>318</v>
      </c>
      <c r="J39" s="2" t="s">
        <v>319</v>
      </c>
      <c r="K39" s="2" t="s">
        <v>320</v>
      </c>
      <c r="L39" s="2" t="s">
        <v>11</v>
      </c>
      <c r="M39" s="2">
        <v>0</v>
      </c>
      <c r="N39" s="2">
        <v>2</v>
      </c>
      <c r="O39" s="2">
        <v>7</v>
      </c>
      <c r="P39" s="2"/>
    </row>
    <row r="40" spans="1:16" ht="105" x14ac:dyDescent="0.25">
      <c r="A40" s="2" t="s">
        <v>321</v>
      </c>
      <c r="B40" s="2" t="s">
        <v>18</v>
      </c>
      <c r="C40" s="2" t="s">
        <v>314</v>
      </c>
      <c r="D40" s="2" t="s">
        <v>322</v>
      </c>
      <c r="E40" s="2" t="s">
        <v>47</v>
      </c>
      <c r="F40" s="2" t="s">
        <v>265</v>
      </c>
      <c r="G40" s="2" t="s">
        <v>323</v>
      </c>
      <c r="H40" s="2" t="s">
        <v>324</v>
      </c>
      <c r="I40" s="2" t="s">
        <v>325</v>
      </c>
      <c r="J40" s="2" t="s">
        <v>326</v>
      </c>
      <c r="K40" s="2" t="s">
        <v>327</v>
      </c>
      <c r="L40" s="2" t="s">
        <v>11</v>
      </c>
      <c r="M40" s="2">
        <v>0</v>
      </c>
      <c r="N40" s="2">
        <v>2</v>
      </c>
      <c r="O40" s="2">
        <v>7</v>
      </c>
      <c r="P40" s="2"/>
    </row>
    <row r="41" spans="1:16" ht="105" x14ac:dyDescent="0.25">
      <c r="A41" s="2" t="s">
        <v>328</v>
      </c>
      <c r="B41" s="2" t="s">
        <v>18</v>
      </c>
      <c r="C41" s="2" t="s">
        <v>314</v>
      </c>
      <c r="D41" s="2" t="s">
        <v>329</v>
      </c>
      <c r="E41" s="2" t="s">
        <v>47</v>
      </c>
      <c r="F41" s="2" t="s">
        <v>265</v>
      </c>
      <c r="G41" s="2" t="s">
        <v>330</v>
      </c>
      <c r="H41" s="2" t="s">
        <v>331</v>
      </c>
      <c r="I41" s="2" t="s">
        <v>332</v>
      </c>
      <c r="J41" s="2" t="s">
        <v>333</v>
      </c>
      <c r="K41" s="2" t="s">
        <v>334</v>
      </c>
      <c r="L41" s="2" t="s">
        <v>11</v>
      </c>
      <c r="M41" s="2">
        <v>0</v>
      </c>
      <c r="N41" s="2">
        <v>2</v>
      </c>
      <c r="O41" s="2">
        <v>7</v>
      </c>
      <c r="P41" s="2"/>
    </row>
    <row r="42" spans="1:16" ht="105" x14ac:dyDescent="0.25">
      <c r="A42" s="2" t="s">
        <v>335</v>
      </c>
      <c r="B42" s="2" t="s">
        <v>18</v>
      </c>
      <c r="C42" s="2" t="s">
        <v>314</v>
      </c>
      <c r="D42" s="2" t="s">
        <v>336</v>
      </c>
      <c r="E42" s="2" t="s">
        <v>47</v>
      </c>
      <c r="F42" s="2" t="s">
        <v>265</v>
      </c>
      <c r="G42" s="2" t="s">
        <v>337</v>
      </c>
      <c r="H42" s="2" t="s">
        <v>338</v>
      </c>
      <c r="I42" s="2" t="s">
        <v>339</v>
      </c>
      <c r="J42" s="2" t="s">
        <v>340</v>
      </c>
      <c r="K42" s="2" t="s">
        <v>341</v>
      </c>
      <c r="L42" s="2" t="s">
        <v>11</v>
      </c>
      <c r="M42" s="2">
        <v>0</v>
      </c>
      <c r="N42" s="2">
        <v>2</v>
      </c>
      <c r="O42" s="2">
        <v>7</v>
      </c>
      <c r="P42" s="2"/>
    </row>
    <row r="43" spans="1:16" ht="105" x14ac:dyDescent="0.25">
      <c r="A43" s="2" t="s">
        <v>342</v>
      </c>
      <c r="B43" s="2" t="s">
        <v>18</v>
      </c>
      <c r="C43" s="2" t="s">
        <v>314</v>
      </c>
      <c r="D43" s="2" t="s">
        <v>343</v>
      </c>
      <c r="E43" s="2" t="s">
        <v>47</v>
      </c>
      <c r="F43" s="2" t="s">
        <v>265</v>
      </c>
      <c r="G43" s="2" t="s">
        <v>344</v>
      </c>
      <c r="H43" s="2" t="s">
        <v>345</v>
      </c>
      <c r="I43" s="2" t="s">
        <v>346</v>
      </c>
      <c r="J43" s="2" t="s">
        <v>347</v>
      </c>
      <c r="K43" s="2" t="s">
        <v>348</v>
      </c>
      <c r="L43" s="2" t="s">
        <v>11</v>
      </c>
      <c r="M43" s="2">
        <v>0</v>
      </c>
      <c r="N43" s="2">
        <v>2</v>
      </c>
      <c r="O43" s="2">
        <v>7</v>
      </c>
      <c r="P43" s="2"/>
    </row>
    <row r="44" spans="1:16" ht="105" x14ac:dyDescent="0.25">
      <c r="A44" s="2" t="s">
        <v>349</v>
      </c>
      <c r="B44" s="2" t="s">
        <v>18</v>
      </c>
      <c r="C44" s="2" t="s">
        <v>314</v>
      </c>
      <c r="D44" s="2" t="s">
        <v>350</v>
      </c>
      <c r="E44" s="2" t="s">
        <v>47</v>
      </c>
      <c r="F44" s="2" t="s">
        <v>265</v>
      </c>
      <c r="G44" s="2" t="s">
        <v>351</v>
      </c>
      <c r="H44" s="2" t="s">
        <v>352</v>
      </c>
      <c r="I44" s="2" t="s">
        <v>353</v>
      </c>
      <c r="J44" s="2" t="s">
        <v>354</v>
      </c>
      <c r="K44" s="2" t="s">
        <v>355</v>
      </c>
      <c r="L44" s="2" t="s">
        <v>11</v>
      </c>
      <c r="M44" s="2">
        <v>0</v>
      </c>
      <c r="N44" s="2">
        <v>2</v>
      </c>
      <c r="O44" s="2">
        <v>8</v>
      </c>
      <c r="P44" s="2"/>
    </row>
    <row r="45" spans="1:16" ht="105" x14ac:dyDescent="0.25">
      <c r="A45" s="2" t="s">
        <v>356</v>
      </c>
      <c r="B45" s="2" t="s">
        <v>18</v>
      </c>
      <c r="C45" s="2" t="s">
        <v>314</v>
      </c>
      <c r="D45" s="2" t="s">
        <v>357</v>
      </c>
      <c r="E45" s="2" t="s">
        <v>47</v>
      </c>
      <c r="F45" s="2" t="s">
        <v>265</v>
      </c>
      <c r="G45" s="2" t="s">
        <v>358</v>
      </c>
      <c r="H45" s="2" t="s">
        <v>359</v>
      </c>
      <c r="I45" s="2" t="s">
        <v>360</v>
      </c>
      <c r="J45" s="2" t="s">
        <v>361</v>
      </c>
      <c r="K45" s="2" t="s">
        <v>362</v>
      </c>
      <c r="L45" s="2" t="s">
        <v>54</v>
      </c>
      <c r="M45" s="2">
        <v>0</v>
      </c>
      <c r="N45" s="2">
        <v>2</v>
      </c>
      <c r="O45" s="2">
        <v>8</v>
      </c>
      <c r="P45" s="2"/>
    </row>
    <row r="46" spans="1:16" ht="105" x14ac:dyDescent="0.25">
      <c r="A46" s="2" t="s">
        <v>363</v>
      </c>
      <c r="B46" s="2" t="s">
        <v>18</v>
      </c>
      <c r="C46" s="2" t="s">
        <v>314</v>
      </c>
      <c r="D46" s="2" t="s">
        <v>364</v>
      </c>
      <c r="E46" s="2" t="s">
        <v>47</v>
      </c>
      <c r="F46" s="2" t="s">
        <v>265</v>
      </c>
      <c r="G46" s="2" t="s">
        <v>365</v>
      </c>
      <c r="H46" s="2" t="s">
        <v>366</v>
      </c>
      <c r="I46" s="2" t="s">
        <v>367</v>
      </c>
      <c r="J46" s="2" t="s">
        <v>368</v>
      </c>
      <c r="K46" s="2" t="s">
        <v>369</v>
      </c>
      <c r="L46" s="2" t="s">
        <v>54</v>
      </c>
      <c r="M46" s="2">
        <v>0</v>
      </c>
      <c r="N46" s="2">
        <v>2</v>
      </c>
      <c r="O46" s="2">
        <v>8</v>
      </c>
      <c r="P46" s="2"/>
    </row>
    <row r="47" spans="1:16" ht="105" x14ac:dyDescent="0.25">
      <c r="A47" s="2" t="s">
        <v>370</v>
      </c>
      <c r="B47" s="2" t="s">
        <v>18</v>
      </c>
      <c r="C47" s="2" t="s">
        <v>314</v>
      </c>
      <c r="D47" s="2" t="s">
        <v>371</v>
      </c>
      <c r="E47" s="2" t="s">
        <v>47</v>
      </c>
      <c r="F47" s="2" t="s">
        <v>265</v>
      </c>
      <c r="G47" s="2" t="s">
        <v>372</v>
      </c>
      <c r="H47" s="2" t="s">
        <v>373</v>
      </c>
      <c r="I47" s="2" t="s">
        <v>374</v>
      </c>
      <c r="J47" s="2" t="s">
        <v>375</v>
      </c>
      <c r="K47" s="2" t="s">
        <v>376</v>
      </c>
      <c r="L47" s="2" t="s">
        <v>54</v>
      </c>
      <c r="M47" s="2">
        <v>0</v>
      </c>
      <c r="N47" s="2">
        <v>2</v>
      </c>
      <c r="O47" s="2">
        <v>8</v>
      </c>
      <c r="P47" s="2"/>
    </row>
    <row r="48" spans="1:16" ht="105" x14ac:dyDescent="0.25">
      <c r="A48" s="2" t="s">
        <v>377</v>
      </c>
      <c r="B48" s="2" t="s">
        <v>18</v>
      </c>
      <c r="C48" s="2" t="s">
        <v>314</v>
      </c>
      <c r="D48" s="2" t="s">
        <v>378</v>
      </c>
      <c r="E48" s="2" t="s">
        <v>47</v>
      </c>
      <c r="F48" s="2" t="s">
        <v>265</v>
      </c>
      <c r="G48" s="2" t="s">
        <v>379</v>
      </c>
      <c r="H48" s="2" t="s">
        <v>380</v>
      </c>
      <c r="I48" s="2" t="s">
        <v>381</v>
      </c>
      <c r="J48" s="2" t="s">
        <v>382</v>
      </c>
      <c r="K48" s="2" t="s">
        <v>383</v>
      </c>
      <c r="L48" s="2" t="s">
        <v>54</v>
      </c>
      <c r="M48" s="2">
        <v>0</v>
      </c>
      <c r="N48" s="2">
        <v>2</v>
      </c>
      <c r="O48" s="2">
        <v>8</v>
      </c>
      <c r="P48" s="2"/>
    </row>
    <row r="49" spans="1:16" ht="105" x14ac:dyDescent="0.25">
      <c r="A49" s="2" t="s">
        <v>384</v>
      </c>
      <c r="B49" s="2" t="s">
        <v>19</v>
      </c>
      <c r="C49" s="2" t="s">
        <v>385</v>
      </c>
      <c r="D49" s="2" t="s">
        <v>386</v>
      </c>
      <c r="E49" s="2" t="s">
        <v>387</v>
      </c>
      <c r="F49" s="2" t="s">
        <v>265</v>
      </c>
      <c r="G49" s="2" t="s">
        <v>388</v>
      </c>
      <c r="H49" s="2" t="s">
        <v>389</v>
      </c>
      <c r="I49" s="2" t="s">
        <v>390</v>
      </c>
      <c r="J49" s="2" t="s">
        <v>391</v>
      </c>
      <c r="K49" s="2" t="s">
        <v>392</v>
      </c>
      <c r="L49" s="2" t="s">
        <v>54</v>
      </c>
      <c r="M49" s="2">
        <v>0</v>
      </c>
      <c r="N49" s="2">
        <v>2</v>
      </c>
      <c r="O49" s="2">
        <v>8</v>
      </c>
      <c r="P49" s="2"/>
    </row>
    <row r="50" spans="1:16" ht="105" x14ac:dyDescent="0.25">
      <c r="A50" s="2" t="s">
        <v>393</v>
      </c>
      <c r="B50" s="2" t="s">
        <v>19</v>
      </c>
      <c r="C50" s="2" t="s">
        <v>385</v>
      </c>
      <c r="D50" s="2" t="s">
        <v>394</v>
      </c>
      <c r="E50" s="2" t="s">
        <v>387</v>
      </c>
      <c r="F50" s="2" t="s">
        <v>265</v>
      </c>
      <c r="G50" s="2" t="s">
        <v>395</v>
      </c>
      <c r="H50" s="2" t="s">
        <v>396</v>
      </c>
      <c r="I50" s="2" t="s">
        <v>397</v>
      </c>
      <c r="J50" s="2" t="s">
        <v>398</v>
      </c>
      <c r="K50" s="2" t="s">
        <v>399</v>
      </c>
      <c r="L50" s="2" t="s">
        <v>54</v>
      </c>
      <c r="M50" s="2">
        <v>0</v>
      </c>
      <c r="N50" s="2">
        <v>2</v>
      </c>
      <c r="O50" s="2">
        <v>9</v>
      </c>
      <c r="P50" s="2"/>
    </row>
    <row r="51" spans="1:16" ht="105" x14ac:dyDescent="0.25">
      <c r="A51" s="2" t="s">
        <v>400</v>
      </c>
      <c r="B51" s="2" t="s">
        <v>19</v>
      </c>
      <c r="C51" s="2" t="s">
        <v>385</v>
      </c>
      <c r="D51" s="2" t="s">
        <v>401</v>
      </c>
      <c r="E51" s="2" t="s">
        <v>387</v>
      </c>
      <c r="F51" s="2" t="s">
        <v>265</v>
      </c>
      <c r="G51" s="2" t="s">
        <v>402</v>
      </c>
      <c r="H51" s="2" t="s">
        <v>403</v>
      </c>
      <c r="I51" s="2" t="s">
        <v>404</v>
      </c>
      <c r="J51" s="2" t="s">
        <v>405</v>
      </c>
      <c r="K51" s="2" t="s">
        <v>406</v>
      </c>
      <c r="L51" s="2" t="s">
        <v>54</v>
      </c>
      <c r="M51" s="2">
        <v>0</v>
      </c>
      <c r="N51" s="2">
        <v>2</v>
      </c>
      <c r="O51" s="2">
        <v>9</v>
      </c>
      <c r="P51" s="2"/>
    </row>
    <row r="52" spans="1:16" ht="105" x14ac:dyDescent="0.25">
      <c r="A52" s="2" t="s">
        <v>407</v>
      </c>
      <c r="B52" s="2" t="s">
        <v>19</v>
      </c>
      <c r="C52" s="2" t="s">
        <v>385</v>
      </c>
      <c r="D52" s="2" t="s">
        <v>408</v>
      </c>
      <c r="E52" s="2" t="s">
        <v>387</v>
      </c>
      <c r="F52" s="2" t="s">
        <v>265</v>
      </c>
      <c r="G52" s="2" t="s">
        <v>409</v>
      </c>
      <c r="H52" s="2" t="s">
        <v>410</v>
      </c>
      <c r="I52" s="2" t="s">
        <v>411</v>
      </c>
      <c r="J52" s="2" t="s">
        <v>412</v>
      </c>
      <c r="K52" s="2" t="s">
        <v>413</v>
      </c>
      <c r="L52" s="2" t="s">
        <v>54</v>
      </c>
      <c r="M52" s="2">
        <v>0</v>
      </c>
      <c r="N52" s="2">
        <v>2</v>
      </c>
      <c r="O52" s="2">
        <v>9</v>
      </c>
      <c r="P52" s="2"/>
    </row>
    <row r="53" spans="1:16" ht="105" x14ac:dyDescent="0.25">
      <c r="A53" s="2" t="s">
        <v>414</v>
      </c>
      <c r="B53" s="2" t="s">
        <v>19</v>
      </c>
      <c r="C53" s="2" t="s">
        <v>385</v>
      </c>
      <c r="D53" s="2" t="s">
        <v>415</v>
      </c>
      <c r="E53" s="2" t="s">
        <v>387</v>
      </c>
      <c r="F53" s="2" t="s">
        <v>265</v>
      </c>
      <c r="G53" s="2" t="s">
        <v>416</v>
      </c>
      <c r="H53" s="2" t="s">
        <v>417</v>
      </c>
      <c r="I53" s="2" t="s">
        <v>418</v>
      </c>
      <c r="J53" s="2" t="s">
        <v>419</v>
      </c>
      <c r="K53" s="2" t="s">
        <v>420</v>
      </c>
      <c r="L53" s="2" t="s">
        <v>54</v>
      </c>
      <c r="M53" s="2">
        <v>0</v>
      </c>
      <c r="N53" s="2">
        <v>2</v>
      </c>
      <c r="O53" s="2">
        <v>9</v>
      </c>
      <c r="P53" s="2"/>
    </row>
    <row r="54" spans="1:16" ht="105" x14ac:dyDescent="0.25">
      <c r="A54" s="2" t="s">
        <v>421</v>
      </c>
      <c r="B54" s="2" t="s">
        <v>19</v>
      </c>
      <c r="C54" s="2" t="s">
        <v>385</v>
      </c>
      <c r="D54" s="2" t="s">
        <v>422</v>
      </c>
      <c r="E54" s="2" t="s">
        <v>387</v>
      </c>
      <c r="F54" s="2" t="s">
        <v>265</v>
      </c>
      <c r="G54" s="2" t="s">
        <v>423</v>
      </c>
      <c r="H54" s="2" t="s">
        <v>424</v>
      </c>
      <c r="I54" s="2" t="s">
        <v>425</v>
      </c>
      <c r="J54" s="2" t="s">
        <v>426</v>
      </c>
      <c r="K54" s="2" t="s">
        <v>427</v>
      </c>
      <c r="L54" s="2" t="s">
        <v>54</v>
      </c>
      <c r="M54" s="2">
        <v>0</v>
      </c>
      <c r="N54" s="2">
        <v>2</v>
      </c>
      <c r="O54" s="2">
        <v>9</v>
      </c>
      <c r="P54" s="2"/>
    </row>
    <row r="55" spans="1:16" ht="105" x14ac:dyDescent="0.25">
      <c r="A55" s="2" t="s">
        <v>428</v>
      </c>
      <c r="B55" s="2" t="s">
        <v>20</v>
      </c>
      <c r="C55" s="2" t="s">
        <v>429</v>
      </c>
      <c r="D55" s="2" t="s">
        <v>430</v>
      </c>
      <c r="E55" s="2" t="s">
        <v>47</v>
      </c>
      <c r="F55" s="2" t="s">
        <v>265</v>
      </c>
      <c r="G55" s="2" t="s">
        <v>431</v>
      </c>
      <c r="H55" s="2" t="s">
        <v>432</v>
      </c>
      <c r="I55" s="2" t="s">
        <v>433</v>
      </c>
      <c r="J55" s="2" t="s">
        <v>434</v>
      </c>
      <c r="K55" s="2" t="s">
        <v>435</v>
      </c>
      <c r="L55" s="2" t="s">
        <v>54</v>
      </c>
      <c r="M55" s="2">
        <v>0</v>
      </c>
      <c r="N55" s="2">
        <v>2</v>
      </c>
      <c r="O55" s="2">
        <v>9</v>
      </c>
      <c r="P55" s="2"/>
    </row>
    <row r="56" spans="1:16" ht="105" x14ac:dyDescent="0.25">
      <c r="A56" s="2" t="s">
        <v>436</v>
      </c>
      <c r="B56" s="2" t="s">
        <v>20</v>
      </c>
      <c r="C56" s="2" t="s">
        <v>429</v>
      </c>
      <c r="D56" s="2" t="s">
        <v>437</v>
      </c>
      <c r="E56" s="2" t="s">
        <v>47</v>
      </c>
      <c r="F56" s="2" t="s">
        <v>265</v>
      </c>
      <c r="G56" s="2" t="s">
        <v>438</v>
      </c>
      <c r="H56" s="2" t="s">
        <v>439</v>
      </c>
      <c r="I56" s="2" t="s">
        <v>440</v>
      </c>
      <c r="J56" s="2" t="s">
        <v>441</v>
      </c>
      <c r="K56" s="2" t="s">
        <v>442</v>
      </c>
      <c r="L56" s="2" t="s">
        <v>54</v>
      </c>
      <c r="M56" s="2">
        <v>0</v>
      </c>
      <c r="N56" s="2">
        <v>2</v>
      </c>
      <c r="O56" s="2">
        <v>10</v>
      </c>
      <c r="P56" s="2"/>
    </row>
    <row r="57" spans="1:16" ht="105" x14ac:dyDescent="0.25">
      <c r="A57" s="2" t="s">
        <v>443</v>
      </c>
      <c r="B57" s="2" t="s">
        <v>20</v>
      </c>
      <c r="C57" s="2" t="s">
        <v>429</v>
      </c>
      <c r="D57" s="2" t="s">
        <v>444</v>
      </c>
      <c r="E57" s="2" t="s">
        <v>47</v>
      </c>
      <c r="F57" s="2" t="s">
        <v>265</v>
      </c>
      <c r="G57" s="2" t="s">
        <v>445</v>
      </c>
      <c r="H57" s="2" t="s">
        <v>446</v>
      </c>
      <c r="I57" s="2" t="s">
        <v>447</v>
      </c>
      <c r="J57" s="2" t="s">
        <v>448</v>
      </c>
      <c r="K57" s="2" t="s">
        <v>449</v>
      </c>
      <c r="L57" s="2" t="s">
        <v>54</v>
      </c>
      <c r="M57" s="2">
        <v>0</v>
      </c>
      <c r="N57" s="2">
        <v>2</v>
      </c>
      <c r="O57" s="2">
        <v>10</v>
      </c>
      <c r="P57" s="2"/>
    </row>
    <row r="58" spans="1:16" ht="105" x14ac:dyDescent="0.25">
      <c r="A58" s="2" t="s">
        <v>450</v>
      </c>
      <c r="B58" s="2" t="s">
        <v>20</v>
      </c>
      <c r="C58" s="2" t="s">
        <v>429</v>
      </c>
      <c r="D58" s="2" t="s">
        <v>451</v>
      </c>
      <c r="E58" s="2" t="s">
        <v>47</v>
      </c>
      <c r="F58" s="2" t="s">
        <v>265</v>
      </c>
      <c r="G58" s="2" t="s">
        <v>452</v>
      </c>
      <c r="H58" s="2" t="s">
        <v>453</v>
      </c>
      <c r="I58" s="2" t="s">
        <v>454</v>
      </c>
      <c r="J58" s="2" t="s">
        <v>455</v>
      </c>
      <c r="K58" s="2" t="s">
        <v>456</v>
      </c>
      <c r="L58" s="2" t="s">
        <v>54</v>
      </c>
      <c r="M58" s="2">
        <v>0</v>
      </c>
      <c r="N58" s="2">
        <v>2</v>
      </c>
      <c r="O58" s="2">
        <v>10</v>
      </c>
      <c r="P58" s="2"/>
    </row>
    <row r="59" spans="1:16" ht="105" x14ac:dyDescent="0.25">
      <c r="A59" s="2" t="s">
        <v>457</v>
      </c>
      <c r="B59" s="2" t="s">
        <v>20</v>
      </c>
      <c r="C59" s="2" t="s">
        <v>429</v>
      </c>
      <c r="D59" s="2" t="s">
        <v>458</v>
      </c>
      <c r="E59" s="2" t="s">
        <v>47</v>
      </c>
      <c r="F59" s="2" t="s">
        <v>265</v>
      </c>
      <c r="G59" s="2" t="s">
        <v>459</v>
      </c>
      <c r="H59" s="2" t="s">
        <v>460</v>
      </c>
      <c r="I59" s="2" t="s">
        <v>461</v>
      </c>
      <c r="J59" s="2" t="s">
        <v>462</v>
      </c>
      <c r="K59" s="2" t="s">
        <v>463</v>
      </c>
      <c r="L59" s="2" t="s">
        <v>54</v>
      </c>
      <c r="M59" s="2">
        <v>0</v>
      </c>
      <c r="N59" s="2">
        <v>2</v>
      </c>
      <c r="O59" s="2">
        <v>10</v>
      </c>
      <c r="P59" s="2"/>
    </row>
    <row r="60" spans="1:16" ht="105" x14ac:dyDescent="0.25">
      <c r="A60" s="2" t="s">
        <v>464</v>
      </c>
      <c r="B60" s="2" t="s">
        <v>20</v>
      </c>
      <c r="C60" s="2" t="s">
        <v>429</v>
      </c>
      <c r="D60" s="2" t="s">
        <v>465</v>
      </c>
      <c r="E60" s="2" t="s">
        <v>47</v>
      </c>
      <c r="F60" s="2" t="s">
        <v>265</v>
      </c>
      <c r="G60" s="2" t="s">
        <v>466</v>
      </c>
      <c r="H60" s="2" t="s">
        <v>467</v>
      </c>
      <c r="I60" s="2" t="s">
        <v>468</v>
      </c>
      <c r="J60" s="2" t="s">
        <v>469</v>
      </c>
      <c r="K60" s="2" t="s">
        <v>470</v>
      </c>
      <c r="L60" s="2" t="s">
        <v>54</v>
      </c>
      <c r="M60" s="2">
        <v>0</v>
      </c>
      <c r="N60" s="2">
        <v>2</v>
      </c>
      <c r="O60" s="2">
        <v>10</v>
      </c>
      <c r="P60" s="2"/>
    </row>
    <row r="61" spans="1:16" ht="105" x14ac:dyDescent="0.25">
      <c r="A61" s="2" t="s">
        <v>471</v>
      </c>
      <c r="B61" s="2" t="s">
        <v>20</v>
      </c>
      <c r="C61" s="2" t="s">
        <v>429</v>
      </c>
      <c r="D61" s="2" t="s">
        <v>472</v>
      </c>
      <c r="E61" s="2" t="s">
        <v>47</v>
      </c>
      <c r="F61" s="2" t="s">
        <v>265</v>
      </c>
      <c r="G61" s="2" t="s">
        <v>473</v>
      </c>
      <c r="H61" s="2" t="s">
        <v>474</v>
      </c>
      <c r="I61" s="2" t="s">
        <v>475</v>
      </c>
      <c r="J61" s="2" t="s">
        <v>476</v>
      </c>
      <c r="K61" s="2" t="s">
        <v>477</v>
      </c>
      <c r="L61" s="2" t="s">
        <v>54</v>
      </c>
      <c r="M61" s="2">
        <v>0</v>
      </c>
      <c r="N61" s="2">
        <v>2</v>
      </c>
      <c r="O61" s="2">
        <v>10</v>
      </c>
      <c r="P61" s="2"/>
    </row>
    <row r="62" spans="1:16" ht="105" x14ac:dyDescent="0.25">
      <c r="A62" s="2" t="s">
        <v>478</v>
      </c>
      <c r="B62" s="2" t="s">
        <v>21</v>
      </c>
      <c r="C62" s="2" t="s">
        <v>479</v>
      </c>
      <c r="D62" s="2" t="s">
        <v>480</v>
      </c>
      <c r="E62" s="2" t="s">
        <v>47</v>
      </c>
      <c r="F62" s="2" t="s">
        <v>265</v>
      </c>
      <c r="G62" s="2" t="s">
        <v>481</v>
      </c>
      <c r="H62" s="2" t="s">
        <v>482</v>
      </c>
      <c r="I62" s="2" t="s">
        <v>483</v>
      </c>
      <c r="J62" s="2" t="s">
        <v>484</v>
      </c>
      <c r="K62" s="2" t="s">
        <v>485</v>
      </c>
      <c r="L62" s="2" t="s">
        <v>54</v>
      </c>
      <c r="M62" s="2">
        <v>0</v>
      </c>
      <c r="N62" s="2">
        <v>2</v>
      </c>
      <c r="O62" s="2">
        <v>11</v>
      </c>
      <c r="P62" s="2"/>
    </row>
    <row r="63" spans="1:16" ht="105" x14ac:dyDescent="0.25">
      <c r="A63" s="2" t="s">
        <v>486</v>
      </c>
      <c r="B63" s="2" t="s">
        <v>21</v>
      </c>
      <c r="C63" s="2" t="s">
        <v>479</v>
      </c>
      <c r="D63" s="2" t="s">
        <v>487</v>
      </c>
      <c r="E63" s="2" t="s">
        <v>47</v>
      </c>
      <c r="F63" s="2" t="s">
        <v>265</v>
      </c>
      <c r="G63" s="2" t="s">
        <v>488</v>
      </c>
      <c r="H63" s="2" t="s">
        <v>489</v>
      </c>
      <c r="I63" s="2" t="s">
        <v>490</v>
      </c>
      <c r="J63" s="2" t="s">
        <v>491</v>
      </c>
      <c r="K63" s="2" t="s">
        <v>492</v>
      </c>
      <c r="L63" s="2" t="s">
        <v>54</v>
      </c>
      <c r="M63" s="2">
        <v>0</v>
      </c>
      <c r="N63" s="2">
        <v>2</v>
      </c>
      <c r="O63" s="2">
        <v>11</v>
      </c>
      <c r="P63" s="2"/>
    </row>
    <row r="64" spans="1:16" ht="105" x14ac:dyDescent="0.25">
      <c r="A64" s="2" t="s">
        <v>493</v>
      </c>
      <c r="B64" s="2" t="s">
        <v>21</v>
      </c>
      <c r="C64" s="2" t="s">
        <v>479</v>
      </c>
      <c r="D64" s="2" t="s">
        <v>494</v>
      </c>
      <c r="E64" s="2" t="s">
        <v>47</v>
      </c>
      <c r="F64" s="2" t="s">
        <v>265</v>
      </c>
      <c r="G64" s="2" t="s">
        <v>495</v>
      </c>
      <c r="H64" s="2" t="s">
        <v>496</v>
      </c>
      <c r="I64" s="2" t="s">
        <v>497</v>
      </c>
      <c r="J64" s="2" t="s">
        <v>498</v>
      </c>
      <c r="K64" s="2" t="s">
        <v>499</v>
      </c>
      <c r="L64" s="2" t="s">
        <v>54</v>
      </c>
      <c r="M64" s="2">
        <v>0</v>
      </c>
      <c r="N64" s="2">
        <v>2</v>
      </c>
      <c r="O64" s="2">
        <v>11</v>
      </c>
      <c r="P64" s="2"/>
    </row>
    <row r="65" spans="1:16" ht="105" x14ac:dyDescent="0.25">
      <c r="A65" s="2" t="s">
        <v>500</v>
      </c>
      <c r="B65" s="2" t="s">
        <v>21</v>
      </c>
      <c r="C65" s="2" t="s">
        <v>479</v>
      </c>
      <c r="D65" s="2" t="s">
        <v>501</v>
      </c>
      <c r="E65" s="2" t="s">
        <v>47</v>
      </c>
      <c r="F65" s="2" t="s">
        <v>265</v>
      </c>
      <c r="G65" s="2" t="s">
        <v>502</v>
      </c>
      <c r="H65" s="2" t="s">
        <v>503</v>
      </c>
      <c r="I65" s="2" t="s">
        <v>504</v>
      </c>
      <c r="J65" s="2" t="s">
        <v>505</v>
      </c>
      <c r="K65" s="2" t="s">
        <v>506</v>
      </c>
      <c r="L65" s="2" t="s">
        <v>54</v>
      </c>
      <c r="M65" s="2">
        <v>0</v>
      </c>
      <c r="N65" s="2">
        <v>2</v>
      </c>
      <c r="O65" s="2">
        <v>11</v>
      </c>
      <c r="P65" s="2"/>
    </row>
    <row r="66" spans="1:16" ht="105" x14ac:dyDescent="0.25">
      <c r="A66" s="2" t="s">
        <v>507</v>
      </c>
      <c r="B66" s="2" t="s">
        <v>21</v>
      </c>
      <c r="C66" s="2" t="s">
        <v>479</v>
      </c>
      <c r="D66" s="2" t="s">
        <v>508</v>
      </c>
      <c r="E66" s="2" t="s">
        <v>47</v>
      </c>
      <c r="F66" s="2" t="s">
        <v>265</v>
      </c>
      <c r="G66" s="2" t="s">
        <v>509</v>
      </c>
      <c r="H66" s="2" t="s">
        <v>510</v>
      </c>
      <c r="I66" s="2" t="s">
        <v>511</v>
      </c>
      <c r="J66" s="2" t="s">
        <v>512</v>
      </c>
      <c r="K66" s="2" t="s">
        <v>513</v>
      </c>
      <c r="L66" s="2" t="s">
        <v>54</v>
      </c>
      <c r="M66" s="2">
        <v>0</v>
      </c>
      <c r="N66" s="2">
        <v>2</v>
      </c>
      <c r="O66" s="2">
        <v>11</v>
      </c>
      <c r="P66" s="2"/>
    </row>
    <row r="67" spans="1:16" ht="105" x14ac:dyDescent="0.25">
      <c r="A67" s="2" t="s">
        <v>514</v>
      </c>
      <c r="B67" s="2" t="s">
        <v>21</v>
      </c>
      <c r="C67" s="2" t="s">
        <v>479</v>
      </c>
      <c r="D67" s="2" t="s">
        <v>515</v>
      </c>
      <c r="E67" s="2" t="s">
        <v>47</v>
      </c>
      <c r="F67" s="2" t="s">
        <v>265</v>
      </c>
      <c r="G67" s="2" t="s">
        <v>516</v>
      </c>
      <c r="H67" s="2" t="s">
        <v>517</v>
      </c>
      <c r="I67" s="2" t="s">
        <v>518</v>
      </c>
      <c r="J67" s="2" t="s">
        <v>519</v>
      </c>
      <c r="K67" s="2" t="s">
        <v>520</v>
      </c>
      <c r="L67" s="2" t="s">
        <v>54</v>
      </c>
      <c r="M67" s="2">
        <v>0</v>
      </c>
      <c r="N67" s="2">
        <v>2</v>
      </c>
      <c r="O67" s="2">
        <v>11</v>
      </c>
      <c r="P67" s="2"/>
    </row>
    <row r="68" spans="1:16" ht="105" x14ac:dyDescent="0.25">
      <c r="A68" s="2" t="s">
        <v>521</v>
      </c>
      <c r="B68" s="2" t="s">
        <v>22</v>
      </c>
      <c r="C68" s="2" t="s">
        <v>522</v>
      </c>
      <c r="D68" s="2" t="s">
        <v>523</v>
      </c>
      <c r="E68" s="2" t="s">
        <v>47</v>
      </c>
      <c r="F68" s="2" t="s">
        <v>265</v>
      </c>
      <c r="G68" s="2" t="s">
        <v>524</v>
      </c>
      <c r="H68" s="2" t="s">
        <v>525</v>
      </c>
      <c r="I68" s="2" t="s">
        <v>526</v>
      </c>
      <c r="J68" s="2" t="s">
        <v>527</v>
      </c>
      <c r="K68" s="2" t="s">
        <v>528</v>
      </c>
      <c r="L68" s="2" t="s">
        <v>54</v>
      </c>
      <c r="M68" s="2">
        <v>0</v>
      </c>
      <c r="N68" s="2">
        <v>2</v>
      </c>
      <c r="O68" s="2">
        <v>12</v>
      </c>
      <c r="P68" s="2"/>
    </row>
    <row r="69" spans="1:16" ht="105" x14ac:dyDescent="0.25">
      <c r="A69" s="2" t="s">
        <v>529</v>
      </c>
      <c r="B69" s="2" t="s">
        <v>22</v>
      </c>
      <c r="C69" s="2" t="s">
        <v>522</v>
      </c>
      <c r="D69" s="2" t="s">
        <v>530</v>
      </c>
      <c r="E69" s="2" t="s">
        <v>47</v>
      </c>
      <c r="F69" s="2" t="s">
        <v>265</v>
      </c>
      <c r="G69" s="2" t="s">
        <v>531</v>
      </c>
      <c r="H69" s="2" t="s">
        <v>532</v>
      </c>
      <c r="I69" s="2" t="s">
        <v>533</v>
      </c>
      <c r="J69" s="2" t="s">
        <v>534</v>
      </c>
      <c r="K69" s="2" t="s">
        <v>535</v>
      </c>
      <c r="L69" s="2" t="s">
        <v>54</v>
      </c>
      <c r="M69" s="2">
        <v>0</v>
      </c>
      <c r="N69" s="2">
        <v>2</v>
      </c>
      <c r="O69" s="2">
        <v>12</v>
      </c>
      <c r="P69" s="2"/>
    </row>
    <row r="70" spans="1:16" ht="105" x14ac:dyDescent="0.25">
      <c r="A70" s="2" t="s">
        <v>536</v>
      </c>
      <c r="B70" s="2" t="s">
        <v>22</v>
      </c>
      <c r="C70" s="2" t="s">
        <v>522</v>
      </c>
      <c r="D70" s="2" t="s">
        <v>537</v>
      </c>
      <c r="E70" s="2" t="s">
        <v>47</v>
      </c>
      <c r="F70" s="2" t="s">
        <v>265</v>
      </c>
      <c r="G70" s="2" t="s">
        <v>538</v>
      </c>
      <c r="H70" s="2" t="s">
        <v>539</v>
      </c>
      <c r="I70" s="2" t="s">
        <v>540</v>
      </c>
      <c r="J70" s="2" t="s">
        <v>541</v>
      </c>
      <c r="K70" s="2" t="s">
        <v>542</v>
      </c>
      <c r="L70" s="2" t="s">
        <v>54</v>
      </c>
      <c r="M70" s="2">
        <v>0</v>
      </c>
      <c r="N70" s="2">
        <v>2</v>
      </c>
      <c r="O70" s="2">
        <v>12</v>
      </c>
      <c r="P70" s="2"/>
    </row>
    <row r="71" spans="1:16" ht="105" x14ac:dyDescent="0.25">
      <c r="A71" s="2" t="s">
        <v>543</v>
      </c>
      <c r="B71" s="2" t="s">
        <v>22</v>
      </c>
      <c r="C71" s="2" t="s">
        <v>522</v>
      </c>
      <c r="D71" s="2" t="s">
        <v>544</v>
      </c>
      <c r="E71" s="2" t="s">
        <v>47</v>
      </c>
      <c r="F71" s="2" t="s">
        <v>265</v>
      </c>
      <c r="G71" s="2" t="s">
        <v>545</v>
      </c>
      <c r="H71" s="2" t="s">
        <v>546</v>
      </c>
      <c r="I71" s="2" t="s">
        <v>547</v>
      </c>
      <c r="J71" s="2" t="s">
        <v>548</v>
      </c>
      <c r="K71" s="2" t="s">
        <v>549</v>
      </c>
      <c r="L71" s="2" t="s">
        <v>54</v>
      </c>
      <c r="M71" s="2">
        <v>0</v>
      </c>
      <c r="N71" s="2">
        <v>2</v>
      </c>
      <c r="O71" s="2">
        <v>12</v>
      </c>
      <c r="P71" s="2"/>
    </row>
    <row r="72" spans="1:16" ht="105" x14ac:dyDescent="0.25">
      <c r="A72" s="2" t="s">
        <v>550</v>
      </c>
      <c r="B72" s="2" t="s">
        <v>22</v>
      </c>
      <c r="C72" s="2" t="s">
        <v>522</v>
      </c>
      <c r="D72" s="2" t="s">
        <v>551</v>
      </c>
      <c r="E72" s="2" t="s">
        <v>47</v>
      </c>
      <c r="F72" s="2" t="s">
        <v>265</v>
      </c>
      <c r="G72" s="2" t="s">
        <v>552</v>
      </c>
      <c r="H72" s="2" t="s">
        <v>553</v>
      </c>
      <c r="I72" s="2" t="s">
        <v>554</v>
      </c>
      <c r="J72" s="2" t="s">
        <v>555</v>
      </c>
      <c r="K72" s="2" t="s">
        <v>556</v>
      </c>
      <c r="L72" s="2" t="s">
        <v>54</v>
      </c>
      <c r="M72" s="2">
        <v>0</v>
      </c>
      <c r="N72" s="2">
        <v>2</v>
      </c>
      <c r="O72" s="2">
        <v>12</v>
      </c>
      <c r="P72" s="2"/>
    </row>
    <row r="73" spans="1:16" ht="105" x14ac:dyDescent="0.25">
      <c r="A73" s="2" t="s">
        <v>557</v>
      </c>
      <c r="B73" s="2" t="s">
        <v>22</v>
      </c>
      <c r="C73" s="2" t="s">
        <v>522</v>
      </c>
      <c r="D73" s="2" t="s">
        <v>558</v>
      </c>
      <c r="E73" s="2" t="s">
        <v>47</v>
      </c>
      <c r="F73" s="2" t="s">
        <v>265</v>
      </c>
      <c r="G73" s="2" t="s">
        <v>559</v>
      </c>
      <c r="H73" s="2" t="s">
        <v>560</v>
      </c>
      <c r="I73" s="2" t="s">
        <v>561</v>
      </c>
      <c r="J73" s="2" t="s">
        <v>562</v>
      </c>
      <c r="K73" s="2" t="s">
        <v>563</v>
      </c>
      <c r="L73" s="2" t="s">
        <v>54</v>
      </c>
      <c r="M73" s="2">
        <v>0</v>
      </c>
      <c r="N73" s="2">
        <v>2</v>
      </c>
      <c r="O73" s="2">
        <v>12</v>
      </c>
      <c r="P73" s="2"/>
    </row>
    <row r="74" spans="1:16" ht="105" x14ac:dyDescent="0.25">
      <c r="A74" s="2" t="s">
        <v>564</v>
      </c>
      <c r="B74" s="2" t="s">
        <v>22</v>
      </c>
      <c r="C74" s="2" t="s">
        <v>522</v>
      </c>
      <c r="D74" s="2" t="s">
        <v>565</v>
      </c>
      <c r="E74" s="2" t="s">
        <v>47</v>
      </c>
      <c r="F74" s="2" t="s">
        <v>265</v>
      </c>
      <c r="G74" s="2" t="s">
        <v>566</v>
      </c>
      <c r="H74" s="2" t="s">
        <v>567</v>
      </c>
      <c r="I74" s="2" t="s">
        <v>568</v>
      </c>
      <c r="J74" s="2" t="s">
        <v>569</v>
      </c>
      <c r="K74" s="2" t="s">
        <v>570</v>
      </c>
      <c r="L74" s="2" t="s">
        <v>54</v>
      </c>
      <c r="M74" s="2">
        <v>0</v>
      </c>
      <c r="N74" s="2">
        <v>2</v>
      </c>
      <c r="O74" s="2">
        <v>13</v>
      </c>
      <c r="P74" s="2"/>
    </row>
    <row r="75" spans="1:16" ht="105" x14ac:dyDescent="0.25">
      <c r="A75" s="2" t="s">
        <v>571</v>
      </c>
      <c r="B75" s="2" t="s">
        <v>23</v>
      </c>
      <c r="C75" s="2" t="s">
        <v>572</v>
      </c>
      <c r="D75" s="2" t="s">
        <v>573</v>
      </c>
      <c r="E75" s="2" t="s">
        <v>47</v>
      </c>
      <c r="F75" s="2" t="s">
        <v>265</v>
      </c>
      <c r="G75" s="2" t="s">
        <v>574</v>
      </c>
      <c r="H75" s="2" t="s">
        <v>575</v>
      </c>
      <c r="I75" s="2" t="s">
        <v>576</v>
      </c>
      <c r="J75" s="2" t="s">
        <v>577</v>
      </c>
      <c r="K75" s="2" t="s">
        <v>578</v>
      </c>
      <c r="L75" s="2" t="s">
        <v>54</v>
      </c>
      <c r="M75" s="2">
        <v>0</v>
      </c>
      <c r="N75" s="2">
        <v>2</v>
      </c>
      <c r="O75" s="2">
        <v>13</v>
      </c>
      <c r="P75" s="2"/>
    </row>
    <row r="76" spans="1:16" ht="105" x14ac:dyDescent="0.25">
      <c r="A76" s="2" t="s">
        <v>579</v>
      </c>
      <c r="B76" s="2" t="s">
        <v>23</v>
      </c>
      <c r="C76" s="2" t="s">
        <v>572</v>
      </c>
      <c r="D76" s="2" t="s">
        <v>580</v>
      </c>
      <c r="E76" s="2" t="s">
        <v>47</v>
      </c>
      <c r="F76" s="2" t="s">
        <v>265</v>
      </c>
      <c r="G76" s="2" t="s">
        <v>581</v>
      </c>
      <c r="H76" s="2" t="s">
        <v>582</v>
      </c>
      <c r="I76" s="2" t="s">
        <v>583</v>
      </c>
      <c r="J76" s="2" t="s">
        <v>584</v>
      </c>
      <c r="K76" s="2" t="s">
        <v>585</v>
      </c>
      <c r="L76" s="2" t="s">
        <v>54</v>
      </c>
      <c r="M76" s="2">
        <v>0</v>
      </c>
      <c r="N76" s="2">
        <v>2</v>
      </c>
      <c r="O76" s="2">
        <v>13</v>
      </c>
      <c r="P76" s="2"/>
    </row>
    <row r="77" spans="1:16" ht="105" x14ac:dyDescent="0.25">
      <c r="A77" s="2" t="s">
        <v>586</v>
      </c>
      <c r="B77" s="2" t="s">
        <v>23</v>
      </c>
      <c r="C77" s="2" t="s">
        <v>572</v>
      </c>
      <c r="D77" s="2" t="s">
        <v>587</v>
      </c>
      <c r="E77" s="2" t="s">
        <v>47</v>
      </c>
      <c r="F77" s="2" t="s">
        <v>265</v>
      </c>
      <c r="G77" s="2" t="s">
        <v>588</v>
      </c>
      <c r="H77" s="2" t="s">
        <v>589</v>
      </c>
      <c r="I77" s="2" t="s">
        <v>590</v>
      </c>
      <c r="J77" s="2" t="s">
        <v>591</v>
      </c>
      <c r="K77" s="2" t="s">
        <v>592</v>
      </c>
      <c r="L77" s="2" t="s">
        <v>54</v>
      </c>
      <c r="M77" s="2">
        <v>0</v>
      </c>
      <c r="N77" s="2">
        <v>2</v>
      </c>
      <c r="O77" s="2">
        <v>13</v>
      </c>
      <c r="P77" s="2"/>
    </row>
    <row r="78" spans="1:16" ht="105" x14ac:dyDescent="0.25">
      <c r="A78" s="2" t="s">
        <v>593</v>
      </c>
      <c r="B78" s="2" t="s">
        <v>23</v>
      </c>
      <c r="C78" s="2" t="s">
        <v>572</v>
      </c>
      <c r="D78" s="2" t="s">
        <v>594</v>
      </c>
      <c r="E78" s="2" t="s">
        <v>47</v>
      </c>
      <c r="F78" s="2" t="s">
        <v>265</v>
      </c>
      <c r="G78" s="2" t="s">
        <v>595</v>
      </c>
      <c r="H78" s="2" t="s">
        <v>596</v>
      </c>
      <c r="I78" s="2" t="s">
        <v>597</v>
      </c>
      <c r="J78" s="2" t="s">
        <v>598</v>
      </c>
      <c r="K78" s="2" t="s">
        <v>599</v>
      </c>
      <c r="L78" s="2" t="s">
        <v>54</v>
      </c>
      <c r="M78" s="2">
        <v>0</v>
      </c>
      <c r="N78" s="2">
        <v>2</v>
      </c>
      <c r="O78" s="2">
        <v>13</v>
      </c>
      <c r="P78" s="2"/>
    </row>
    <row r="79" spans="1:16" ht="105" x14ac:dyDescent="0.25">
      <c r="A79" s="2" t="s">
        <v>600</v>
      </c>
      <c r="B79" s="2" t="s">
        <v>23</v>
      </c>
      <c r="C79" s="2" t="s">
        <v>572</v>
      </c>
      <c r="D79" s="2" t="s">
        <v>601</v>
      </c>
      <c r="E79" s="2" t="s">
        <v>47</v>
      </c>
      <c r="F79" s="2" t="s">
        <v>265</v>
      </c>
      <c r="G79" s="2" t="s">
        <v>602</v>
      </c>
      <c r="H79" s="2" t="s">
        <v>603</v>
      </c>
      <c r="I79" s="2" t="s">
        <v>604</v>
      </c>
      <c r="J79" s="2" t="s">
        <v>605</v>
      </c>
      <c r="K79" s="2" t="s">
        <v>606</v>
      </c>
      <c r="L79" s="2" t="s">
        <v>54</v>
      </c>
      <c r="M79" s="2">
        <v>0</v>
      </c>
      <c r="N79" s="2">
        <v>2</v>
      </c>
      <c r="O79" s="2">
        <v>13</v>
      </c>
      <c r="P79" s="2"/>
    </row>
    <row r="80" spans="1:16" ht="105" x14ac:dyDescent="0.25">
      <c r="A80" s="2" t="s">
        <v>607</v>
      </c>
      <c r="B80" s="2" t="s">
        <v>23</v>
      </c>
      <c r="C80" s="2" t="s">
        <v>572</v>
      </c>
      <c r="D80" s="2" t="s">
        <v>608</v>
      </c>
      <c r="E80" s="2" t="s">
        <v>47</v>
      </c>
      <c r="F80" s="2" t="s">
        <v>265</v>
      </c>
      <c r="G80" s="2" t="s">
        <v>609</v>
      </c>
      <c r="H80" s="2" t="s">
        <v>610</v>
      </c>
      <c r="I80" s="2" t="s">
        <v>611</v>
      </c>
      <c r="J80" s="2" t="s">
        <v>612</v>
      </c>
      <c r="K80" s="2" t="s">
        <v>613</v>
      </c>
      <c r="L80" s="2" t="s">
        <v>54</v>
      </c>
      <c r="M80" s="2">
        <v>0</v>
      </c>
      <c r="N80" s="2">
        <v>2</v>
      </c>
      <c r="O80" s="2">
        <v>14</v>
      </c>
      <c r="P80" s="2"/>
    </row>
    <row r="81" spans="1:16" ht="105" x14ac:dyDescent="0.25">
      <c r="A81" s="2" t="s">
        <v>614</v>
      </c>
      <c r="B81" s="2" t="s">
        <v>23</v>
      </c>
      <c r="C81" s="2" t="s">
        <v>572</v>
      </c>
      <c r="D81" s="2" t="s">
        <v>615</v>
      </c>
      <c r="E81" s="2" t="s">
        <v>47</v>
      </c>
      <c r="F81" s="2" t="s">
        <v>265</v>
      </c>
      <c r="G81" s="2" t="s">
        <v>616</v>
      </c>
      <c r="H81" s="2" t="s">
        <v>617</v>
      </c>
      <c r="I81" s="2" t="s">
        <v>618</v>
      </c>
      <c r="J81" s="2" t="s">
        <v>619</v>
      </c>
      <c r="K81" s="2" t="s">
        <v>620</v>
      </c>
      <c r="L81" s="2" t="s">
        <v>54</v>
      </c>
      <c r="M81" s="2">
        <v>0</v>
      </c>
      <c r="N81" s="2">
        <v>2</v>
      </c>
      <c r="O81" s="2">
        <v>14</v>
      </c>
      <c r="P81" s="2"/>
    </row>
    <row r="82" spans="1:16" ht="105" x14ac:dyDescent="0.25">
      <c r="A82" s="2" t="s">
        <v>621</v>
      </c>
      <c r="B82" s="2" t="s">
        <v>24</v>
      </c>
      <c r="C82" s="2" t="s">
        <v>622</v>
      </c>
      <c r="D82" s="2" t="s">
        <v>623</v>
      </c>
      <c r="E82" s="2" t="s">
        <v>47</v>
      </c>
      <c r="F82" s="2" t="s">
        <v>265</v>
      </c>
      <c r="G82" s="2" t="s">
        <v>624</v>
      </c>
      <c r="H82" s="2" t="s">
        <v>625</v>
      </c>
      <c r="I82" s="2" t="s">
        <v>626</v>
      </c>
      <c r="J82" s="2" t="s">
        <v>627</v>
      </c>
      <c r="K82" s="2" t="s">
        <v>628</v>
      </c>
      <c r="L82" s="2" t="s">
        <v>54</v>
      </c>
      <c r="M82" s="2">
        <v>0</v>
      </c>
      <c r="N82" s="2">
        <v>2</v>
      </c>
      <c r="O82" s="2">
        <v>14</v>
      </c>
      <c r="P82" s="2"/>
    </row>
    <row r="83" spans="1:16" ht="105" x14ac:dyDescent="0.25">
      <c r="A83" s="2" t="s">
        <v>629</v>
      </c>
      <c r="B83" s="2" t="s">
        <v>24</v>
      </c>
      <c r="C83" s="2" t="s">
        <v>622</v>
      </c>
      <c r="D83" s="2" t="s">
        <v>630</v>
      </c>
      <c r="E83" s="2" t="s">
        <v>47</v>
      </c>
      <c r="F83" s="2" t="s">
        <v>265</v>
      </c>
      <c r="G83" s="2" t="s">
        <v>631</v>
      </c>
      <c r="H83" s="2" t="s">
        <v>632</v>
      </c>
      <c r="I83" s="2" t="s">
        <v>633</v>
      </c>
      <c r="J83" s="2" t="s">
        <v>634</v>
      </c>
      <c r="K83" s="2" t="s">
        <v>635</v>
      </c>
      <c r="L83" s="2" t="s">
        <v>54</v>
      </c>
      <c r="M83" s="2">
        <v>0</v>
      </c>
      <c r="N83" s="2">
        <v>2</v>
      </c>
      <c r="O83" s="2">
        <v>14</v>
      </c>
      <c r="P83" s="2"/>
    </row>
    <row r="84" spans="1:16" ht="105" x14ac:dyDescent="0.25">
      <c r="A84" s="2" t="s">
        <v>636</v>
      </c>
      <c r="B84" s="2" t="s">
        <v>24</v>
      </c>
      <c r="C84" s="2" t="s">
        <v>622</v>
      </c>
      <c r="D84" s="2" t="s">
        <v>637</v>
      </c>
      <c r="E84" s="2" t="s">
        <v>47</v>
      </c>
      <c r="F84" s="2" t="s">
        <v>265</v>
      </c>
      <c r="G84" s="2" t="s">
        <v>638</v>
      </c>
      <c r="H84" s="2" t="s">
        <v>639</v>
      </c>
      <c r="I84" s="2" t="s">
        <v>640</v>
      </c>
      <c r="J84" s="2" t="s">
        <v>641</v>
      </c>
      <c r="K84" s="2" t="s">
        <v>642</v>
      </c>
      <c r="L84" s="2" t="s">
        <v>54</v>
      </c>
      <c r="M84" s="2">
        <v>0</v>
      </c>
      <c r="N84" s="2">
        <v>2</v>
      </c>
      <c r="O84" s="2">
        <v>14</v>
      </c>
      <c r="P84" s="2"/>
    </row>
    <row r="85" spans="1:16" ht="105" x14ac:dyDescent="0.25">
      <c r="A85" s="2" t="s">
        <v>643</v>
      </c>
      <c r="B85" s="2" t="s">
        <v>24</v>
      </c>
      <c r="C85" s="2" t="s">
        <v>622</v>
      </c>
      <c r="D85" s="2" t="s">
        <v>644</v>
      </c>
      <c r="E85" s="2" t="s">
        <v>47</v>
      </c>
      <c r="F85" s="2" t="s">
        <v>265</v>
      </c>
      <c r="G85" s="2" t="s">
        <v>645</v>
      </c>
      <c r="H85" s="2" t="s">
        <v>646</v>
      </c>
      <c r="I85" s="2" t="s">
        <v>647</v>
      </c>
      <c r="J85" s="2" t="s">
        <v>648</v>
      </c>
      <c r="K85" s="2" t="s">
        <v>649</v>
      </c>
      <c r="L85" s="2" t="s">
        <v>54</v>
      </c>
      <c r="M85" s="2">
        <v>0</v>
      </c>
      <c r="N85" s="2">
        <v>2</v>
      </c>
      <c r="O85" s="2">
        <v>14</v>
      </c>
      <c r="P85" s="2"/>
    </row>
    <row r="86" spans="1:16" ht="105" x14ac:dyDescent="0.25">
      <c r="A86" s="2" t="s">
        <v>650</v>
      </c>
      <c r="B86" s="2" t="s">
        <v>24</v>
      </c>
      <c r="C86" s="2" t="s">
        <v>622</v>
      </c>
      <c r="D86" s="2" t="s">
        <v>651</v>
      </c>
      <c r="E86" s="2" t="s">
        <v>47</v>
      </c>
      <c r="F86" s="2" t="s">
        <v>265</v>
      </c>
      <c r="G86" s="2" t="s">
        <v>652</v>
      </c>
      <c r="H86" s="2" t="s">
        <v>653</v>
      </c>
      <c r="I86" s="2" t="s">
        <v>654</v>
      </c>
      <c r="J86" s="2" t="s">
        <v>655</v>
      </c>
      <c r="K86" s="2" t="s">
        <v>656</v>
      </c>
      <c r="L86" s="2" t="s">
        <v>54</v>
      </c>
      <c r="M86" s="2">
        <v>0</v>
      </c>
      <c r="N86" s="2">
        <v>2</v>
      </c>
      <c r="O86" s="2">
        <v>15</v>
      </c>
      <c r="P86" s="2"/>
    </row>
    <row r="87" spans="1:16" ht="105" x14ac:dyDescent="0.25">
      <c r="A87" s="2" t="s">
        <v>657</v>
      </c>
      <c r="B87" s="2" t="s">
        <v>24</v>
      </c>
      <c r="C87" s="2" t="s">
        <v>622</v>
      </c>
      <c r="D87" s="2" t="s">
        <v>658</v>
      </c>
      <c r="E87" s="2" t="s">
        <v>47</v>
      </c>
      <c r="F87" s="2" t="s">
        <v>265</v>
      </c>
      <c r="G87" s="2" t="s">
        <v>659</v>
      </c>
      <c r="H87" s="2" t="s">
        <v>660</v>
      </c>
      <c r="I87" s="2" t="s">
        <v>661</v>
      </c>
      <c r="J87" s="2" t="s">
        <v>662</v>
      </c>
      <c r="K87" s="2" t="s">
        <v>663</v>
      </c>
      <c r="L87" s="2" t="s">
        <v>54</v>
      </c>
      <c r="M87" s="2">
        <v>0</v>
      </c>
      <c r="N87" s="2">
        <v>2</v>
      </c>
      <c r="O87" s="2">
        <v>15</v>
      </c>
      <c r="P87" s="2"/>
    </row>
    <row r="88" spans="1:16" ht="105" x14ac:dyDescent="0.25">
      <c r="A88" s="2" t="s">
        <v>664</v>
      </c>
      <c r="B88" s="2" t="s">
        <v>24</v>
      </c>
      <c r="C88" s="2" t="s">
        <v>622</v>
      </c>
      <c r="D88" s="2" t="s">
        <v>665</v>
      </c>
      <c r="E88" s="2" t="s">
        <v>47</v>
      </c>
      <c r="F88" s="2" t="s">
        <v>265</v>
      </c>
      <c r="G88" s="2" t="s">
        <v>666</v>
      </c>
      <c r="H88" s="2" t="s">
        <v>667</v>
      </c>
      <c r="I88" s="2" t="s">
        <v>668</v>
      </c>
      <c r="J88" s="2" t="s">
        <v>669</v>
      </c>
      <c r="K88" s="2" t="s">
        <v>670</v>
      </c>
      <c r="L88" s="2" t="s">
        <v>54</v>
      </c>
      <c r="M88" s="2">
        <v>0</v>
      </c>
      <c r="N88" s="2">
        <v>2</v>
      </c>
      <c r="O88" s="2">
        <v>15</v>
      </c>
      <c r="P88" s="2"/>
    </row>
    <row r="89" spans="1:16" ht="105" x14ac:dyDescent="0.25">
      <c r="A89" s="2" t="s">
        <v>671</v>
      </c>
      <c r="B89" s="2" t="s">
        <v>24</v>
      </c>
      <c r="C89" s="2" t="s">
        <v>622</v>
      </c>
      <c r="D89" s="2" t="s">
        <v>672</v>
      </c>
      <c r="E89" s="2" t="s">
        <v>47</v>
      </c>
      <c r="F89" s="2" t="s">
        <v>265</v>
      </c>
      <c r="G89" s="2" t="s">
        <v>673</v>
      </c>
      <c r="H89" s="2" t="s">
        <v>674</v>
      </c>
      <c r="I89" s="2" t="s">
        <v>675</v>
      </c>
      <c r="J89" s="2" t="s">
        <v>676</v>
      </c>
      <c r="K89" s="2" t="s">
        <v>677</v>
      </c>
      <c r="L89" s="2" t="s">
        <v>54</v>
      </c>
      <c r="M89" s="2">
        <v>0</v>
      </c>
      <c r="N89" s="2">
        <v>2</v>
      </c>
      <c r="O89" s="2">
        <v>15</v>
      </c>
      <c r="P89" s="2"/>
    </row>
    <row r="90" spans="1:16" ht="105" x14ac:dyDescent="0.25">
      <c r="A90" s="2" t="s">
        <v>678</v>
      </c>
      <c r="B90" s="2" t="s">
        <v>25</v>
      </c>
      <c r="C90" s="2" t="s">
        <v>679</v>
      </c>
      <c r="D90" s="2" t="s">
        <v>680</v>
      </c>
      <c r="E90" s="2" t="s">
        <v>387</v>
      </c>
      <c r="F90" s="2" t="s">
        <v>265</v>
      </c>
      <c r="G90" s="2" t="s">
        <v>681</v>
      </c>
      <c r="H90" s="2" t="s">
        <v>682</v>
      </c>
      <c r="I90" s="2" t="s">
        <v>683</v>
      </c>
      <c r="J90" s="2" t="s">
        <v>684</v>
      </c>
      <c r="K90" s="2" t="s">
        <v>685</v>
      </c>
      <c r="L90" s="2" t="s">
        <v>54</v>
      </c>
      <c r="M90" s="2">
        <v>0</v>
      </c>
      <c r="N90" s="2">
        <v>2</v>
      </c>
      <c r="O90" s="2">
        <v>15</v>
      </c>
      <c r="P90" s="2"/>
    </row>
    <row r="91" spans="1:16" ht="105" x14ac:dyDescent="0.25">
      <c r="A91" s="2" t="s">
        <v>686</v>
      </c>
      <c r="B91" s="2" t="s">
        <v>25</v>
      </c>
      <c r="C91" s="2" t="s">
        <v>679</v>
      </c>
      <c r="D91" s="2" t="s">
        <v>687</v>
      </c>
      <c r="E91" s="2" t="s">
        <v>387</v>
      </c>
      <c r="F91" s="2" t="s">
        <v>265</v>
      </c>
      <c r="G91" s="2" t="s">
        <v>688</v>
      </c>
      <c r="H91" s="2" t="s">
        <v>689</v>
      </c>
      <c r="I91" s="2" t="s">
        <v>690</v>
      </c>
      <c r="J91" s="2" t="s">
        <v>691</v>
      </c>
      <c r="K91" s="2" t="s">
        <v>692</v>
      </c>
      <c r="L91" s="2" t="s">
        <v>54</v>
      </c>
      <c r="M91" s="2">
        <v>0</v>
      </c>
      <c r="N91" s="2">
        <v>2</v>
      </c>
      <c r="O91" s="2">
        <v>15</v>
      </c>
      <c r="P91" s="2"/>
    </row>
    <row r="92" spans="1:16" ht="105" x14ac:dyDescent="0.25">
      <c r="A92" s="2" t="s">
        <v>693</v>
      </c>
      <c r="B92" s="2" t="s">
        <v>25</v>
      </c>
      <c r="C92" s="2" t="s">
        <v>679</v>
      </c>
      <c r="D92" s="2" t="s">
        <v>694</v>
      </c>
      <c r="E92" s="2" t="s">
        <v>387</v>
      </c>
      <c r="F92" s="2" t="s">
        <v>265</v>
      </c>
      <c r="G92" s="2" t="s">
        <v>695</v>
      </c>
      <c r="H92" s="2" t="s">
        <v>696</v>
      </c>
      <c r="I92" s="2" t="s">
        <v>697</v>
      </c>
      <c r="J92" s="2" t="s">
        <v>698</v>
      </c>
      <c r="K92" s="2" t="s">
        <v>699</v>
      </c>
      <c r="L92" s="2" t="s">
        <v>54</v>
      </c>
      <c r="M92" s="2">
        <v>0</v>
      </c>
      <c r="N92" s="2">
        <v>2</v>
      </c>
      <c r="O92" s="2">
        <v>16</v>
      </c>
      <c r="P92" s="2"/>
    </row>
    <row r="93" spans="1:16" ht="105" x14ac:dyDescent="0.25">
      <c r="A93" s="2" t="s">
        <v>700</v>
      </c>
      <c r="B93" s="2" t="s">
        <v>25</v>
      </c>
      <c r="C93" s="2" t="s">
        <v>679</v>
      </c>
      <c r="D93" s="2" t="s">
        <v>701</v>
      </c>
      <c r="E93" s="2" t="s">
        <v>387</v>
      </c>
      <c r="F93" s="2" t="s">
        <v>265</v>
      </c>
      <c r="G93" s="2" t="s">
        <v>702</v>
      </c>
      <c r="H93" s="2" t="s">
        <v>703</v>
      </c>
      <c r="I93" s="2" t="s">
        <v>704</v>
      </c>
      <c r="J93" s="2" t="s">
        <v>705</v>
      </c>
      <c r="K93" s="2" t="s">
        <v>706</v>
      </c>
      <c r="L93" s="2" t="s">
        <v>54</v>
      </c>
      <c r="M93" s="2">
        <v>0</v>
      </c>
      <c r="N93" s="2">
        <v>2</v>
      </c>
      <c r="O93" s="2">
        <v>16</v>
      </c>
      <c r="P93" s="2"/>
    </row>
    <row r="94" spans="1:16" ht="105" x14ac:dyDescent="0.25">
      <c r="A94" s="2" t="s">
        <v>707</v>
      </c>
      <c r="B94" s="2" t="s">
        <v>25</v>
      </c>
      <c r="C94" s="2" t="s">
        <v>679</v>
      </c>
      <c r="D94" s="2" t="s">
        <v>708</v>
      </c>
      <c r="E94" s="2" t="s">
        <v>387</v>
      </c>
      <c r="F94" s="2" t="s">
        <v>265</v>
      </c>
      <c r="G94" s="2" t="s">
        <v>709</v>
      </c>
      <c r="H94" s="2" t="s">
        <v>710</v>
      </c>
      <c r="I94" s="2" t="s">
        <v>711</v>
      </c>
      <c r="J94" s="2" t="s">
        <v>712</v>
      </c>
      <c r="K94" s="2" t="s">
        <v>713</v>
      </c>
      <c r="L94" s="2" t="s">
        <v>54</v>
      </c>
      <c r="M94" s="2">
        <v>0</v>
      </c>
      <c r="N94" s="2">
        <v>2</v>
      </c>
      <c r="O94" s="2">
        <v>16</v>
      </c>
      <c r="P94" s="2"/>
    </row>
    <row r="95" spans="1:16" ht="105" x14ac:dyDescent="0.25">
      <c r="A95" s="2" t="s">
        <v>714</v>
      </c>
      <c r="B95" s="2" t="s">
        <v>26</v>
      </c>
      <c r="C95" s="2" t="s">
        <v>715</v>
      </c>
      <c r="D95" s="2" t="s">
        <v>716</v>
      </c>
      <c r="E95" s="2" t="s">
        <v>47</v>
      </c>
      <c r="F95" s="2" t="s">
        <v>717</v>
      </c>
      <c r="G95" s="2" t="s">
        <v>718</v>
      </c>
      <c r="H95" s="2" t="s">
        <v>719</v>
      </c>
      <c r="I95" s="2" t="s">
        <v>720</v>
      </c>
      <c r="J95" s="2" t="s">
        <v>721</v>
      </c>
      <c r="K95" s="2" t="s">
        <v>722</v>
      </c>
      <c r="L95" s="2" t="s">
        <v>54</v>
      </c>
      <c r="M95" s="2">
        <v>0</v>
      </c>
      <c r="N95" s="2">
        <v>2</v>
      </c>
      <c r="O95" s="2">
        <v>16</v>
      </c>
      <c r="P95" s="2"/>
    </row>
    <row r="96" spans="1:16" ht="105" x14ac:dyDescent="0.25">
      <c r="A96" s="2" t="s">
        <v>723</v>
      </c>
      <c r="B96" s="2" t="s">
        <v>26</v>
      </c>
      <c r="C96" s="2" t="s">
        <v>715</v>
      </c>
      <c r="D96" s="2" t="s">
        <v>724</v>
      </c>
      <c r="E96" s="2" t="s">
        <v>47</v>
      </c>
      <c r="F96" s="2" t="s">
        <v>717</v>
      </c>
      <c r="G96" s="2" t="s">
        <v>725</v>
      </c>
      <c r="H96" s="2" t="s">
        <v>726</v>
      </c>
      <c r="I96" s="2" t="s">
        <v>727</v>
      </c>
      <c r="J96" s="2" t="s">
        <v>728</v>
      </c>
      <c r="K96" s="2" t="s">
        <v>729</v>
      </c>
      <c r="L96" s="2" t="s">
        <v>54</v>
      </c>
      <c r="M96" s="2">
        <v>0</v>
      </c>
      <c r="N96" s="2">
        <v>2</v>
      </c>
      <c r="O96" s="2">
        <v>16</v>
      </c>
      <c r="P96" s="2"/>
    </row>
    <row r="97" spans="1:16" ht="105" x14ac:dyDescent="0.25">
      <c r="A97" s="2" t="s">
        <v>730</v>
      </c>
      <c r="B97" s="2" t="s">
        <v>26</v>
      </c>
      <c r="C97" s="2" t="s">
        <v>715</v>
      </c>
      <c r="D97" s="2" t="s">
        <v>731</v>
      </c>
      <c r="E97" s="2" t="s">
        <v>47</v>
      </c>
      <c r="F97" s="2" t="s">
        <v>717</v>
      </c>
      <c r="G97" s="2" t="s">
        <v>732</v>
      </c>
      <c r="H97" s="2" t="s">
        <v>733</v>
      </c>
      <c r="I97" s="2" t="s">
        <v>734</v>
      </c>
      <c r="J97" s="2" t="s">
        <v>735</v>
      </c>
      <c r="K97" s="2" t="s">
        <v>736</v>
      </c>
      <c r="L97" s="2" t="s">
        <v>54</v>
      </c>
      <c r="M97" s="2">
        <v>0</v>
      </c>
      <c r="N97" s="2">
        <v>2</v>
      </c>
      <c r="O97" s="2">
        <v>16</v>
      </c>
      <c r="P97" s="2"/>
    </row>
    <row r="98" spans="1:16" ht="105" x14ac:dyDescent="0.25">
      <c r="A98" s="2" t="s">
        <v>737</v>
      </c>
      <c r="B98" s="2" t="s">
        <v>26</v>
      </c>
      <c r="C98" s="2" t="s">
        <v>715</v>
      </c>
      <c r="D98" s="2" t="s">
        <v>738</v>
      </c>
      <c r="E98" s="2" t="s">
        <v>47</v>
      </c>
      <c r="F98" s="2" t="s">
        <v>717</v>
      </c>
      <c r="G98" s="2" t="s">
        <v>739</v>
      </c>
      <c r="H98" s="2" t="s">
        <v>740</v>
      </c>
      <c r="I98" s="2" t="s">
        <v>741</v>
      </c>
      <c r="J98" s="2" t="s">
        <v>742</v>
      </c>
      <c r="K98" s="2" t="s">
        <v>743</v>
      </c>
      <c r="L98" s="2" t="s">
        <v>54</v>
      </c>
      <c r="M98" s="2">
        <v>0</v>
      </c>
      <c r="N98" s="2">
        <v>2</v>
      </c>
      <c r="O98" s="2">
        <v>17</v>
      </c>
      <c r="P98" s="2"/>
    </row>
    <row r="99" spans="1:16" ht="105" x14ac:dyDescent="0.25">
      <c r="A99" s="2" t="s">
        <v>744</v>
      </c>
      <c r="B99" s="2" t="s">
        <v>26</v>
      </c>
      <c r="C99" s="2" t="s">
        <v>715</v>
      </c>
      <c r="D99" s="2" t="s">
        <v>745</v>
      </c>
      <c r="E99" s="2" t="s">
        <v>47</v>
      </c>
      <c r="F99" s="2" t="s">
        <v>717</v>
      </c>
      <c r="G99" s="2" t="s">
        <v>746</v>
      </c>
      <c r="H99" s="2" t="s">
        <v>747</v>
      </c>
      <c r="I99" s="2" t="s">
        <v>748</v>
      </c>
      <c r="J99" s="2" t="s">
        <v>749</v>
      </c>
      <c r="K99" s="2" t="s">
        <v>750</v>
      </c>
      <c r="L99" s="2" t="s">
        <v>54</v>
      </c>
      <c r="M99" s="2">
        <v>0</v>
      </c>
      <c r="N99" s="2">
        <v>2</v>
      </c>
      <c r="O99" s="2">
        <v>17</v>
      </c>
      <c r="P99" s="2"/>
    </row>
    <row r="100" spans="1:16" ht="105" x14ac:dyDescent="0.25">
      <c r="A100" s="2" t="s">
        <v>751</v>
      </c>
      <c r="B100" s="2" t="s">
        <v>26</v>
      </c>
      <c r="C100" s="2" t="s">
        <v>715</v>
      </c>
      <c r="D100" s="2" t="s">
        <v>752</v>
      </c>
      <c r="E100" s="2" t="s">
        <v>47</v>
      </c>
      <c r="F100" s="2" t="s">
        <v>717</v>
      </c>
      <c r="G100" s="2" t="s">
        <v>753</v>
      </c>
      <c r="H100" s="2" t="s">
        <v>754</v>
      </c>
      <c r="I100" s="2" t="s">
        <v>755</v>
      </c>
      <c r="J100" s="2" t="s">
        <v>756</v>
      </c>
      <c r="K100" s="2" t="s">
        <v>757</v>
      </c>
      <c r="L100" s="2" t="s">
        <v>54</v>
      </c>
      <c r="M100" s="2">
        <v>0</v>
      </c>
      <c r="N100" s="2">
        <v>2</v>
      </c>
      <c r="O100" s="2">
        <v>17</v>
      </c>
      <c r="P100" s="2"/>
    </row>
    <row r="101" spans="1:16" ht="105" x14ac:dyDescent="0.25">
      <c r="A101" s="2" t="s">
        <v>758</v>
      </c>
      <c r="B101" s="2" t="s">
        <v>27</v>
      </c>
      <c r="C101" s="2" t="s">
        <v>759</v>
      </c>
      <c r="D101" s="2" t="s">
        <v>760</v>
      </c>
      <c r="E101" s="2" t="s">
        <v>47</v>
      </c>
      <c r="F101" s="2" t="s">
        <v>717</v>
      </c>
      <c r="G101" s="2" t="s">
        <v>761</v>
      </c>
      <c r="H101" s="2" t="s">
        <v>762</v>
      </c>
      <c r="I101" s="2" t="s">
        <v>763</v>
      </c>
      <c r="J101" s="2" t="s">
        <v>764</v>
      </c>
      <c r="K101" s="2" t="s">
        <v>765</v>
      </c>
      <c r="L101" s="2" t="s">
        <v>54</v>
      </c>
      <c r="M101" s="2">
        <v>0</v>
      </c>
      <c r="N101" s="2">
        <v>2</v>
      </c>
      <c r="O101" s="2">
        <v>17</v>
      </c>
      <c r="P101" s="2"/>
    </row>
    <row r="102" spans="1:16" ht="105" x14ac:dyDescent="0.25">
      <c r="A102" s="2" t="s">
        <v>766</v>
      </c>
      <c r="B102" s="2" t="s">
        <v>27</v>
      </c>
      <c r="C102" s="2" t="s">
        <v>759</v>
      </c>
      <c r="D102" s="2" t="s">
        <v>767</v>
      </c>
      <c r="E102" s="2" t="s">
        <v>47</v>
      </c>
      <c r="F102" s="2" t="s">
        <v>717</v>
      </c>
      <c r="G102" s="2" t="s">
        <v>768</v>
      </c>
      <c r="H102" s="2" t="s">
        <v>769</v>
      </c>
      <c r="I102" s="2" t="s">
        <v>770</v>
      </c>
      <c r="J102" s="2" t="s">
        <v>771</v>
      </c>
      <c r="K102" s="2" t="s">
        <v>772</v>
      </c>
      <c r="L102" s="2" t="s">
        <v>54</v>
      </c>
      <c r="M102" s="2">
        <v>0</v>
      </c>
      <c r="N102" s="2">
        <v>2</v>
      </c>
      <c r="O102" s="2">
        <v>17</v>
      </c>
      <c r="P102" s="2"/>
    </row>
    <row r="103" spans="1:16" ht="105" x14ac:dyDescent="0.25">
      <c r="A103" s="2" t="s">
        <v>773</v>
      </c>
      <c r="B103" s="2" t="s">
        <v>27</v>
      </c>
      <c r="C103" s="2" t="s">
        <v>759</v>
      </c>
      <c r="D103" s="2" t="s">
        <v>774</v>
      </c>
      <c r="E103" s="2" t="s">
        <v>47</v>
      </c>
      <c r="F103" s="2" t="s">
        <v>717</v>
      </c>
      <c r="G103" s="2" t="s">
        <v>775</v>
      </c>
      <c r="H103" s="2" t="s">
        <v>776</v>
      </c>
      <c r="I103" s="2" t="s">
        <v>777</v>
      </c>
      <c r="J103" s="2" t="s">
        <v>778</v>
      </c>
      <c r="K103" s="2" t="s">
        <v>779</v>
      </c>
      <c r="L103" s="2" t="s">
        <v>54</v>
      </c>
      <c r="M103" s="2">
        <v>0</v>
      </c>
      <c r="N103" s="2">
        <v>2</v>
      </c>
      <c r="O103" s="2">
        <v>17</v>
      </c>
      <c r="P103" s="2"/>
    </row>
    <row r="104" spans="1:16" ht="105" x14ac:dyDescent="0.25">
      <c r="A104" s="2" t="s">
        <v>780</v>
      </c>
      <c r="B104" s="2" t="s">
        <v>27</v>
      </c>
      <c r="C104" s="2" t="s">
        <v>759</v>
      </c>
      <c r="D104" s="2" t="s">
        <v>781</v>
      </c>
      <c r="E104" s="2" t="s">
        <v>47</v>
      </c>
      <c r="F104" s="2" t="s">
        <v>717</v>
      </c>
      <c r="G104" s="2" t="s">
        <v>782</v>
      </c>
      <c r="H104" s="2" t="s">
        <v>783</v>
      </c>
      <c r="I104" s="2" t="s">
        <v>784</v>
      </c>
      <c r="J104" s="2" t="s">
        <v>785</v>
      </c>
      <c r="K104" s="2" t="s">
        <v>786</v>
      </c>
      <c r="L104" s="2" t="s">
        <v>54</v>
      </c>
      <c r="M104" s="2">
        <v>0</v>
      </c>
      <c r="N104" s="2">
        <v>2</v>
      </c>
      <c r="O104" s="2">
        <v>18</v>
      </c>
      <c r="P104" s="2"/>
    </row>
    <row r="105" spans="1:16" ht="105" x14ac:dyDescent="0.25">
      <c r="A105" s="2" t="s">
        <v>787</v>
      </c>
      <c r="B105" s="2" t="s">
        <v>27</v>
      </c>
      <c r="C105" s="2" t="s">
        <v>759</v>
      </c>
      <c r="D105" s="2" t="s">
        <v>788</v>
      </c>
      <c r="E105" s="2" t="s">
        <v>47</v>
      </c>
      <c r="F105" s="2" t="s">
        <v>717</v>
      </c>
      <c r="G105" s="2" t="s">
        <v>789</v>
      </c>
      <c r="H105" s="2" t="s">
        <v>790</v>
      </c>
      <c r="I105" s="2" t="s">
        <v>791</v>
      </c>
      <c r="J105" s="2" t="s">
        <v>792</v>
      </c>
      <c r="K105" s="2" t="s">
        <v>793</v>
      </c>
      <c r="L105" s="2" t="s">
        <v>54</v>
      </c>
      <c r="M105" s="2">
        <v>0</v>
      </c>
      <c r="N105" s="2">
        <v>2</v>
      </c>
      <c r="O105" s="2">
        <v>18</v>
      </c>
      <c r="P105" s="2"/>
    </row>
    <row r="106" spans="1:16" ht="105" x14ac:dyDescent="0.25">
      <c r="A106" s="2" t="s">
        <v>794</v>
      </c>
      <c r="B106" s="2" t="s">
        <v>28</v>
      </c>
      <c r="C106" s="2" t="s">
        <v>795</v>
      </c>
      <c r="D106" s="2" t="s">
        <v>796</v>
      </c>
      <c r="E106" s="2" t="s">
        <v>47</v>
      </c>
      <c r="F106" s="2" t="s">
        <v>717</v>
      </c>
      <c r="G106" s="2" t="s">
        <v>797</v>
      </c>
      <c r="H106" s="2" t="s">
        <v>798</v>
      </c>
      <c r="I106" s="2" t="s">
        <v>799</v>
      </c>
      <c r="J106" s="2" t="s">
        <v>800</v>
      </c>
      <c r="K106" s="2" t="s">
        <v>801</v>
      </c>
      <c r="L106" s="2" t="s">
        <v>54</v>
      </c>
      <c r="M106" s="2">
        <v>0</v>
      </c>
      <c r="N106" s="2">
        <v>2</v>
      </c>
      <c r="O106" s="2">
        <v>18</v>
      </c>
      <c r="P106" s="2"/>
    </row>
    <row r="107" spans="1:16" ht="105" x14ac:dyDescent="0.25">
      <c r="A107" s="2" t="s">
        <v>802</v>
      </c>
      <c r="B107" s="2" t="s">
        <v>28</v>
      </c>
      <c r="C107" s="2" t="s">
        <v>795</v>
      </c>
      <c r="D107" s="2" t="s">
        <v>803</v>
      </c>
      <c r="E107" s="2" t="s">
        <v>47</v>
      </c>
      <c r="F107" s="2" t="s">
        <v>717</v>
      </c>
      <c r="G107" s="2" t="s">
        <v>804</v>
      </c>
      <c r="H107" s="2" t="s">
        <v>805</v>
      </c>
      <c r="I107" s="2" t="s">
        <v>806</v>
      </c>
      <c r="J107" s="2" t="s">
        <v>807</v>
      </c>
      <c r="K107" s="2" t="s">
        <v>808</v>
      </c>
      <c r="L107" s="2" t="s">
        <v>54</v>
      </c>
      <c r="M107" s="2">
        <v>0</v>
      </c>
      <c r="N107" s="2">
        <v>2</v>
      </c>
      <c r="O107" s="2">
        <v>18</v>
      </c>
      <c r="P107" s="2"/>
    </row>
    <row r="108" spans="1:16" ht="105" x14ac:dyDescent="0.25">
      <c r="A108" s="2" t="s">
        <v>809</v>
      </c>
      <c r="B108" s="2" t="s">
        <v>28</v>
      </c>
      <c r="C108" s="2" t="s">
        <v>795</v>
      </c>
      <c r="D108" s="2" t="s">
        <v>810</v>
      </c>
      <c r="E108" s="2" t="s">
        <v>47</v>
      </c>
      <c r="F108" s="2" t="s">
        <v>717</v>
      </c>
      <c r="G108" s="2" t="s">
        <v>811</v>
      </c>
      <c r="H108" s="2" t="s">
        <v>812</v>
      </c>
      <c r="I108" s="2" t="s">
        <v>813</v>
      </c>
      <c r="J108" s="2" t="s">
        <v>814</v>
      </c>
      <c r="K108" s="2" t="s">
        <v>815</v>
      </c>
      <c r="L108" s="2" t="s">
        <v>54</v>
      </c>
      <c r="M108" s="2">
        <v>0</v>
      </c>
      <c r="N108" s="2">
        <v>2</v>
      </c>
      <c r="O108" s="2">
        <v>18</v>
      </c>
      <c r="P108" s="2"/>
    </row>
    <row r="109" spans="1:16" ht="105" x14ac:dyDescent="0.25">
      <c r="A109" s="2" t="s">
        <v>816</v>
      </c>
      <c r="B109" s="2" t="s">
        <v>28</v>
      </c>
      <c r="C109" s="2" t="s">
        <v>795</v>
      </c>
      <c r="D109" s="2" t="s">
        <v>817</v>
      </c>
      <c r="E109" s="2" t="s">
        <v>47</v>
      </c>
      <c r="F109" s="2" t="s">
        <v>717</v>
      </c>
      <c r="G109" s="2" t="s">
        <v>818</v>
      </c>
      <c r="H109" s="2" t="s">
        <v>819</v>
      </c>
      <c r="I109" s="2" t="s">
        <v>820</v>
      </c>
      <c r="J109" s="2" t="s">
        <v>821</v>
      </c>
      <c r="K109" s="2" t="s">
        <v>822</v>
      </c>
      <c r="L109" s="2" t="s">
        <v>54</v>
      </c>
      <c r="M109" s="2">
        <v>0</v>
      </c>
      <c r="N109" s="2">
        <v>2</v>
      </c>
      <c r="O109" s="2">
        <v>18</v>
      </c>
      <c r="P109" s="2"/>
    </row>
    <row r="110" spans="1:16" ht="105" x14ac:dyDescent="0.25">
      <c r="A110" s="2" t="s">
        <v>823</v>
      </c>
      <c r="B110" s="2" t="s">
        <v>28</v>
      </c>
      <c r="C110" s="2" t="s">
        <v>795</v>
      </c>
      <c r="D110" s="2" t="s">
        <v>824</v>
      </c>
      <c r="E110" s="2" t="s">
        <v>47</v>
      </c>
      <c r="F110" s="2" t="s">
        <v>717</v>
      </c>
      <c r="G110" s="2" t="s">
        <v>825</v>
      </c>
      <c r="H110" s="2" t="s">
        <v>826</v>
      </c>
      <c r="I110" s="2" t="s">
        <v>827</v>
      </c>
      <c r="J110" s="2" t="s">
        <v>828</v>
      </c>
      <c r="K110" s="2" t="s">
        <v>829</v>
      </c>
      <c r="L110" s="2" t="s">
        <v>54</v>
      </c>
      <c r="M110" s="2">
        <v>0</v>
      </c>
      <c r="N110" s="2">
        <v>2</v>
      </c>
      <c r="O110" s="2">
        <v>18</v>
      </c>
      <c r="P110" s="2"/>
    </row>
    <row r="111" spans="1:16" ht="105" x14ac:dyDescent="0.25">
      <c r="A111" s="2" t="s">
        <v>830</v>
      </c>
      <c r="B111" s="2" t="s">
        <v>28</v>
      </c>
      <c r="C111" s="2" t="s">
        <v>795</v>
      </c>
      <c r="D111" s="2" t="s">
        <v>831</v>
      </c>
      <c r="E111" s="2" t="s">
        <v>47</v>
      </c>
      <c r="F111" s="2" t="s">
        <v>717</v>
      </c>
      <c r="G111" s="2" t="s">
        <v>832</v>
      </c>
      <c r="H111" s="2" t="s">
        <v>833</v>
      </c>
      <c r="I111" s="2" t="s">
        <v>834</v>
      </c>
      <c r="J111" s="2" t="s">
        <v>835</v>
      </c>
      <c r="K111" s="2" t="s">
        <v>836</v>
      </c>
      <c r="L111" s="2" t="s">
        <v>54</v>
      </c>
      <c r="M111" s="2">
        <v>0</v>
      </c>
      <c r="N111" s="2">
        <v>2</v>
      </c>
      <c r="O111" s="2">
        <v>18</v>
      </c>
      <c r="P111" s="2"/>
    </row>
    <row r="112" spans="1:16" ht="105" x14ac:dyDescent="0.25">
      <c r="A112" s="2" t="s">
        <v>837</v>
      </c>
      <c r="B112" s="2" t="s">
        <v>28</v>
      </c>
      <c r="C112" s="2" t="s">
        <v>795</v>
      </c>
      <c r="D112" s="2" t="s">
        <v>838</v>
      </c>
      <c r="E112" s="2" t="s">
        <v>47</v>
      </c>
      <c r="F112" s="2" t="s">
        <v>717</v>
      </c>
      <c r="G112" s="2" t="s">
        <v>839</v>
      </c>
      <c r="H112" s="2" t="s">
        <v>840</v>
      </c>
      <c r="I112" s="2" t="s">
        <v>841</v>
      </c>
      <c r="J112" s="2" t="s">
        <v>842</v>
      </c>
      <c r="K112" s="2" t="s">
        <v>843</v>
      </c>
      <c r="L112" s="2" t="s">
        <v>54</v>
      </c>
      <c r="M112" s="2">
        <v>0</v>
      </c>
      <c r="N112" s="2">
        <v>2</v>
      </c>
      <c r="O112" s="2">
        <v>18</v>
      </c>
      <c r="P112" s="2"/>
    </row>
    <row r="113" spans="1:16" ht="105" x14ac:dyDescent="0.25">
      <c r="A113" s="2" t="s">
        <v>844</v>
      </c>
      <c r="B113" s="2" t="s">
        <v>28</v>
      </c>
      <c r="C113" s="2" t="s">
        <v>795</v>
      </c>
      <c r="D113" s="2" t="s">
        <v>845</v>
      </c>
      <c r="E113" s="2" t="s">
        <v>47</v>
      </c>
      <c r="F113" s="2" t="s">
        <v>717</v>
      </c>
      <c r="G113" s="2" t="s">
        <v>846</v>
      </c>
      <c r="H113" s="2" t="s">
        <v>847</v>
      </c>
      <c r="I113" s="2" t="s">
        <v>848</v>
      </c>
      <c r="J113" s="2" t="s">
        <v>849</v>
      </c>
      <c r="K113" s="2" t="s">
        <v>850</v>
      </c>
      <c r="L113" s="2" t="s">
        <v>54</v>
      </c>
      <c r="M113" s="2">
        <v>0</v>
      </c>
      <c r="N113" s="2">
        <v>2</v>
      </c>
      <c r="O113" s="2">
        <v>18</v>
      </c>
      <c r="P113" s="2"/>
    </row>
  </sheetData>
  <autoFilter ref="A1:P113" xr:uid="{00000000-0009-0000-0000-000000000000}"/>
  <conditionalFormatting sqref="L2:L113">
    <cfRule type="expression" dxfId="1" priority="1">
      <formula>$L2="Done"</formula>
    </cfRule>
    <cfRule type="expression" dxfId="0" priority="2">
      <formula>$L2="In Progress"</formula>
    </cfRule>
  </conditionalFormatting>
  <dataValidations count="2">
    <dataValidation type="list" sqref="L2:L113" xr:uid="{00000000-0002-0000-0000-000000000000}">
      <formula1>"Not Started,In Progress,Done,Review,Blocked"</formula1>
    </dataValidation>
    <dataValidation type="whole" sqref="M2:M113" xr:uid="{00000000-0002-0000-0000-000001000000}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selection sqref="A1:F1"/>
    </sheetView>
  </sheetViews>
  <sheetFormatPr defaultRowHeight="15" x14ac:dyDescent="0.25"/>
  <cols>
    <col min="1" max="1" width="24" customWidth="1"/>
    <col min="2" max="2" width="35" customWidth="1"/>
    <col min="3" max="6" width="20" customWidth="1"/>
  </cols>
  <sheetData>
    <row r="1" spans="1:6" ht="26.25" x14ac:dyDescent="0.4">
      <c r="A1" s="8" t="s">
        <v>0</v>
      </c>
      <c r="B1" s="9"/>
      <c r="C1" s="9"/>
      <c r="D1" s="9"/>
      <c r="E1" s="9"/>
      <c r="F1" s="9"/>
    </row>
    <row r="3" spans="1:6" x14ac:dyDescent="0.25">
      <c r="A3" s="3" t="s">
        <v>1</v>
      </c>
      <c r="B3">
        <f>COUNTA('Course Roadmap'!A2:A113)</f>
        <v>112</v>
      </c>
    </row>
    <row r="4" spans="1:6" x14ac:dyDescent="0.25">
      <c r="A4" s="3" t="s">
        <v>2</v>
      </c>
      <c r="B4">
        <f>COUNTIF('Course Roadmap'!L2:L113,"Done")</f>
        <v>21</v>
      </c>
    </row>
    <row r="5" spans="1:6" x14ac:dyDescent="0.25">
      <c r="A5" s="3" t="s">
        <v>3</v>
      </c>
      <c r="B5">
        <f>COUNTIF('Course Roadmap'!L2:L113,"In Progress")</f>
        <v>0</v>
      </c>
    </row>
    <row r="6" spans="1:6" x14ac:dyDescent="0.25">
      <c r="A6" s="3" t="s">
        <v>4</v>
      </c>
      <c r="B6">
        <f>COUNTIF('Course Roadmap'!L2:L113,"Review")</f>
        <v>0</v>
      </c>
    </row>
    <row r="7" spans="1:6" x14ac:dyDescent="0.25">
      <c r="A7" s="3" t="s">
        <v>5</v>
      </c>
      <c r="B7" s="4">
        <f>IF(B3=0,0,B4/B3)</f>
        <v>0.1875</v>
      </c>
    </row>
    <row r="8" spans="1:6" x14ac:dyDescent="0.25">
      <c r="A8" s="3" t="s">
        <v>6</v>
      </c>
      <c r="B8">
        <f>IFERROR(AVERAGE('Course Roadmap'!M2:M113),0)</f>
        <v>0</v>
      </c>
    </row>
    <row r="10" spans="1:6" x14ac:dyDescent="0.25">
      <c r="A10" s="5" t="s">
        <v>7</v>
      </c>
      <c r="B10" s="9" t="s">
        <v>8</v>
      </c>
      <c r="C10" s="9"/>
      <c r="D10" s="9"/>
      <c r="E10" s="9"/>
      <c r="F10" s="9"/>
    </row>
    <row r="11" spans="1:6" x14ac:dyDescent="0.25">
      <c r="B11" s="9"/>
      <c r="C11" s="9"/>
      <c r="D11" s="9"/>
      <c r="E11" s="9"/>
      <c r="F11" s="9"/>
    </row>
    <row r="12" spans="1:6" x14ac:dyDescent="0.25">
      <c r="A12" t="s">
        <v>9</v>
      </c>
      <c r="B12" s="9" t="s">
        <v>10</v>
      </c>
      <c r="C12" s="9" t="s">
        <v>11</v>
      </c>
      <c r="D12" s="9" t="s">
        <v>12</v>
      </c>
      <c r="E12" s="9"/>
      <c r="F12" s="9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t="s">
        <v>13</v>
      </c>
      <c r="B14">
        <f>COUNTIF('Course Roadmap'!B2:B113,A14)</f>
        <v>10</v>
      </c>
      <c r="C14">
        <f>COUNTIFS('Course Roadmap'!B2:B113,A14,'Course Roadmap'!L2:L113,"Done")</f>
        <v>5</v>
      </c>
      <c r="D14" s="4">
        <f t="shared" ref="D14:D29" si="0">IF(B14=0,0,C14/B14)</f>
        <v>0.5</v>
      </c>
    </row>
    <row r="15" spans="1:6" x14ac:dyDescent="0.25">
      <c r="A15" t="s">
        <v>14</v>
      </c>
      <c r="B15">
        <f>COUNTIF('Course Roadmap'!B2:B113,A15)</f>
        <v>6</v>
      </c>
      <c r="C15">
        <f>COUNTIFS('Course Roadmap'!B2:B113,A15,'Course Roadmap'!L2:L113,"Done")</f>
        <v>2</v>
      </c>
      <c r="D15" s="4">
        <f t="shared" si="0"/>
        <v>0.33333333333333331</v>
      </c>
    </row>
    <row r="16" spans="1:6" x14ac:dyDescent="0.25">
      <c r="A16" t="s">
        <v>15</v>
      </c>
      <c r="B16">
        <f>COUNTIF('Course Roadmap'!B2:B113,A16)</f>
        <v>6</v>
      </c>
      <c r="C16">
        <f>COUNTIFS('Course Roadmap'!B2:B113,A16,'Course Roadmap'!L2:L113,"Done")</f>
        <v>0</v>
      </c>
      <c r="D16" s="4">
        <f t="shared" si="0"/>
        <v>0</v>
      </c>
    </row>
    <row r="17" spans="1:4" x14ac:dyDescent="0.25">
      <c r="A17" t="s">
        <v>16</v>
      </c>
      <c r="B17">
        <f>COUNTIF('Course Roadmap'!B2:B113,A17)</f>
        <v>8</v>
      </c>
      <c r="C17">
        <f>COUNTIFS('Course Roadmap'!B2:B113,A17,'Course Roadmap'!L2:L113,"Done")</f>
        <v>5</v>
      </c>
      <c r="D17" s="4">
        <f t="shared" si="0"/>
        <v>0.625</v>
      </c>
    </row>
    <row r="18" spans="1:4" x14ac:dyDescent="0.25">
      <c r="A18" t="s">
        <v>17</v>
      </c>
      <c r="B18">
        <f>COUNTIF('Course Roadmap'!B2:B113,A18)</f>
        <v>7</v>
      </c>
      <c r="C18">
        <f>COUNTIFS('Course Roadmap'!B2:B113,A18,'Course Roadmap'!L2:L113,"Done")</f>
        <v>3</v>
      </c>
      <c r="D18" s="4">
        <f t="shared" si="0"/>
        <v>0.42857142857142855</v>
      </c>
    </row>
    <row r="19" spans="1:4" x14ac:dyDescent="0.25">
      <c r="A19" t="s">
        <v>18</v>
      </c>
      <c r="B19">
        <f>COUNTIF('Course Roadmap'!B2:B113,A19)</f>
        <v>10</v>
      </c>
      <c r="C19">
        <f>COUNTIFS('Course Roadmap'!B2:B113,A19,'Course Roadmap'!L2:L113,"Done")</f>
        <v>6</v>
      </c>
      <c r="D19" s="4">
        <f t="shared" si="0"/>
        <v>0.6</v>
      </c>
    </row>
    <row r="20" spans="1:4" x14ac:dyDescent="0.25">
      <c r="A20" t="s">
        <v>19</v>
      </c>
      <c r="B20">
        <f>COUNTIF('Course Roadmap'!B2:B113,A20)</f>
        <v>6</v>
      </c>
      <c r="C20">
        <f>COUNTIFS('Course Roadmap'!B2:B113,A20,'Course Roadmap'!L2:L113,"Done")</f>
        <v>0</v>
      </c>
      <c r="D20" s="4">
        <f t="shared" si="0"/>
        <v>0</v>
      </c>
    </row>
    <row r="21" spans="1:4" x14ac:dyDescent="0.25">
      <c r="A21" t="s">
        <v>20</v>
      </c>
      <c r="B21">
        <f>COUNTIF('Course Roadmap'!B2:B113,A21)</f>
        <v>7</v>
      </c>
      <c r="C21">
        <f>COUNTIFS('Course Roadmap'!B2:B113,A21,'Course Roadmap'!L2:L113,"Done")</f>
        <v>0</v>
      </c>
      <c r="D21" s="4">
        <f t="shared" si="0"/>
        <v>0</v>
      </c>
    </row>
    <row r="22" spans="1:4" x14ac:dyDescent="0.25">
      <c r="A22" t="s">
        <v>21</v>
      </c>
      <c r="B22">
        <f>COUNTIF('Course Roadmap'!B2:B113,A22)</f>
        <v>6</v>
      </c>
      <c r="C22">
        <f>COUNTIFS('Course Roadmap'!B2:B113,A22,'Course Roadmap'!L2:L113,"Done")</f>
        <v>0</v>
      </c>
      <c r="D22" s="4">
        <f t="shared" si="0"/>
        <v>0</v>
      </c>
    </row>
    <row r="23" spans="1:4" x14ac:dyDescent="0.25">
      <c r="A23" t="s">
        <v>22</v>
      </c>
      <c r="B23">
        <f>COUNTIF('Course Roadmap'!B2:B113,A23)</f>
        <v>7</v>
      </c>
      <c r="C23">
        <f>COUNTIFS('Course Roadmap'!B2:B113,A23,'Course Roadmap'!L2:L113,"Done")</f>
        <v>0</v>
      </c>
      <c r="D23" s="4">
        <f t="shared" si="0"/>
        <v>0</v>
      </c>
    </row>
    <row r="24" spans="1:4" x14ac:dyDescent="0.25">
      <c r="A24" t="s">
        <v>23</v>
      </c>
      <c r="B24">
        <f>COUNTIF('Course Roadmap'!B2:B113,A24)</f>
        <v>7</v>
      </c>
      <c r="C24">
        <f>COUNTIFS('Course Roadmap'!B2:B113,A24,'Course Roadmap'!L2:L113,"Done")</f>
        <v>0</v>
      </c>
      <c r="D24" s="4">
        <f t="shared" si="0"/>
        <v>0</v>
      </c>
    </row>
    <row r="25" spans="1:4" x14ac:dyDescent="0.25">
      <c r="A25" t="s">
        <v>24</v>
      </c>
      <c r="B25">
        <f>COUNTIF('Course Roadmap'!B2:B113,A25)</f>
        <v>8</v>
      </c>
      <c r="C25">
        <f>COUNTIFS('Course Roadmap'!B2:B113,A25,'Course Roadmap'!L2:L113,"Done")</f>
        <v>0</v>
      </c>
      <c r="D25" s="4">
        <f t="shared" si="0"/>
        <v>0</v>
      </c>
    </row>
    <row r="26" spans="1:4" x14ac:dyDescent="0.25">
      <c r="A26" t="s">
        <v>25</v>
      </c>
      <c r="B26">
        <f>COUNTIF('Course Roadmap'!B2:B113,A26)</f>
        <v>5</v>
      </c>
      <c r="C26">
        <f>COUNTIFS('Course Roadmap'!B2:B113,A26,'Course Roadmap'!L2:L113,"Done")</f>
        <v>0</v>
      </c>
      <c r="D26" s="4">
        <f t="shared" si="0"/>
        <v>0</v>
      </c>
    </row>
    <row r="27" spans="1:4" x14ac:dyDescent="0.25">
      <c r="A27" t="s">
        <v>26</v>
      </c>
      <c r="B27">
        <f>COUNTIF('Course Roadmap'!B2:B113,A27)</f>
        <v>6</v>
      </c>
      <c r="C27">
        <f>COUNTIFS('Course Roadmap'!B2:B113,A27,'Course Roadmap'!L2:L113,"Done")</f>
        <v>0</v>
      </c>
      <c r="D27" s="4">
        <f t="shared" si="0"/>
        <v>0</v>
      </c>
    </row>
    <row r="28" spans="1:4" x14ac:dyDescent="0.25">
      <c r="A28" t="s">
        <v>27</v>
      </c>
      <c r="B28">
        <f>COUNTIF('Course Roadmap'!B2:B113,A28)</f>
        <v>5</v>
      </c>
      <c r="C28">
        <f>COUNTIFS('Course Roadmap'!B2:B113,A28,'Course Roadmap'!L2:L113,"Done")</f>
        <v>0</v>
      </c>
      <c r="D28" s="4">
        <f t="shared" si="0"/>
        <v>0</v>
      </c>
    </row>
    <row r="29" spans="1:4" x14ac:dyDescent="0.25">
      <c r="A29" t="s">
        <v>28</v>
      </c>
      <c r="B29">
        <f>COUNTIF('Course Roadmap'!B2:B113,A29)</f>
        <v>8</v>
      </c>
      <c r="C29">
        <f>COUNTIFS('Course Roadmap'!B2:B113,A29,'Course Roadmap'!L2:L113,"Done")</f>
        <v>0</v>
      </c>
      <c r="D29" s="4">
        <f t="shared" si="0"/>
        <v>0</v>
      </c>
    </row>
  </sheetData>
  <mergeCells count="2">
    <mergeCell ref="A1:F1"/>
    <mergeCell ref="B10:F1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85" customWidth="1"/>
    <col min="3" max="3" width="35" customWidth="1"/>
    <col min="4" max="4" width="45" customWidth="1"/>
  </cols>
  <sheetData>
    <row r="1" spans="1:4" x14ac:dyDescent="0.25">
      <c r="A1" s="6" t="s">
        <v>851</v>
      </c>
      <c r="B1" s="6" t="s">
        <v>852</v>
      </c>
      <c r="C1" s="6" t="s">
        <v>853</v>
      </c>
      <c r="D1" s="6" t="s">
        <v>854</v>
      </c>
    </row>
    <row r="2" spans="1:4" ht="30" x14ac:dyDescent="0.25">
      <c r="A2" s="2" t="s">
        <v>855</v>
      </c>
      <c r="B2" s="2" t="s">
        <v>856</v>
      </c>
      <c r="C2" s="2" t="s">
        <v>857</v>
      </c>
      <c r="D2" s="2" t="s">
        <v>858</v>
      </c>
    </row>
    <row r="3" spans="1:4" ht="30" x14ac:dyDescent="0.25">
      <c r="A3" s="2" t="s">
        <v>859</v>
      </c>
      <c r="B3" s="2" t="s">
        <v>860</v>
      </c>
      <c r="C3" s="2" t="s">
        <v>861</v>
      </c>
      <c r="D3" s="2" t="s">
        <v>862</v>
      </c>
    </row>
    <row r="4" spans="1:4" ht="45" x14ac:dyDescent="0.25">
      <c r="A4" s="2" t="s">
        <v>863</v>
      </c>
      <c r="B4" s="2" t="s">
        <v>864</v>
      </c>
      <c r="C4" s="2" t="s">
        <v>865</v>
      </c>
      <c r="D4" s="2" t="s">
        <v>866</v>
      </c>
    </row>
    <row r="5" spans="1:4" ht="30" x14ac:dyDescent="0.25">
      <c r="A5" s="2" t="s">
        <v>867</v>
      </c>
      <c r="B5" s="2" t="s">
        <v>868</v>
      </c>
      <c r="C5" s="2" t="s">
        <v>869</v>
      </c>
      <c r="D5" s="2" t="s">
        <v>870</v>
      </c>
    </row>
    <row r="6" spans="1:4" ht="30" x14ac:dyDescent="0.25">
      <c r="A6" s="2" t="s">
        <v>871</v>
      </c>
      <c r="B6" s="2" t="s">
        <v>872</v>
      </c>
      <c r="C6" s="2" t="s">
        <v>873</v>
      </c>
      <c r="D6" s="2" t="s">
        <v>874</v>
      </c>
    </row>
    <row r="7" spans="1:4" ht="30" x14ac:dyDescent="0.25">
      <c r="A7" s="2" t="s">
        <v>875</v>
      </c>
      <c r="B7" s="2" t="s">
        <v>876</v>
      </c>
      <c r="C7" s="2" t="s">
        <v>877</v>
      </c>
      <c r="D7" s="2" t="s">
        <v>878</v>
      </c>
    </row>
    <row r="8" spans="1:4" ht="30" x14ac:dyDescent="0.25">
      <c r="A8" s="2" t="s">
        <v>879</v>
      </c>
      <c r="B8" s="2" t="s">
        <v>880</v>
      </c>
      <c r="C8" s="2" t="s">
        <v>881</v>
      </c>
      <c r="D8" s="2" t="s">
        <v>882</v>
      </c>
    </row>
    <row r="9" spans="1:4" ht="30" x14ac:dyDescent="0.25">
      <c r="A9" s="2" t="s">
        <v>883</v>
      </c>
      <c r="B9" s="2" t="s">
        <v>884</v>
      </c>
      <c r="C9" s="2" t="s">
        <v>885</v>
      </c>
      <c r="D9" s="2" t="s">
        <v>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/>
  </sheetViews>
  <sheetFormatPr defaultRowHeight="15" x14ac:dyDescent="0.25"/>
  <cols>
    <col min="1" max="1" width="24" customWidth="1"/>
    <col min="2" max="2" width="50" customWidth="1"/>
    <col min="3" max="3" width="48" customWidth="1"/>
    <col min="4" max="4" width="58" customWidth="1"/>
    <col min="5" max="5" width="20" customWidth="1"/>
  </cols>
  <sheetData>
    <row r="1" spans="1:5" x14ac:dyDescent="0.25">
      <c r="A1" s="6" t="s">
        <v>887</v>
      </c>
      <c r="B1" s="6" t="s">
        <v>888</v>
      </c>
      <c r="C1" s="6" t="s">
        <v>889</v>
      </c>
      <c r="D1" s="6" t="s">
        <v>890</v>
      </c>
      <c r="E1" s="6" t="s">
        <v>891</v>
      </c>
    </row>
    <row r="2" spans="1:5" x14ac:dyDescent="0.25">
      <c r="A2" s="2" t="s">
        <v>892</v>
      </c>
      <c r="B2" s="2" t="s">
        <v>893</v>
      </c>
      <c r="C2" s="2" t="s">
        <v>894</v>
      </c>
      <c r="D2" s="2" t="s">
        <v>895</v>
      </c>
      <c r="E2" s="2" t="s">
        <v>13</v>
      </c>
    </row>
    <row r="3" spans="1:5" x14ac:dyDescent="0.25">
      <c r="A3" s="2" t="s">
        <v>119</v>
      </c>
      <c r="B3" s="2" t="s">
        <v>896</v>
      </c>
      <c r="C3" s="2" t="s">
        <v>897</v>
      </c>
      <c r="D3" s="2" t="s">
        <v>898</v>
      </c>
      <c r="E3" s="2" t="s">
        <v>14</v>
      </c>
    </row>
    <row r="4" spans="1:5" ht="30" x14ac:dyDescent="0.25">
      <c r="A4" s="2" t="s">
        <v>899</v>
      </c>
      <c r="B4" s="2" t="s">
        <v>900</v>
      </c>
      <c r="C4" s="2" t="s">
        <v>901</v>
      </c>
      <c r="D4" s="2" t="s">
        <v>902</v>
      </c>
      <c r="E4" s="2" t="s">
        <v>15</v>
      </c>
    </row>
    <row r="5" spans="1:5" x14ac:dyDescent="0.25">
      <c r="A5" s="2" t="s">
        <v>903</v>
      </c>
      <c r="B5" s="2" t="s">
        <v>904</v>
      </c>
      <c r="C5" s="2" t="s">
        <v>905</v>
      </c>
      <c r="D5" s="2" t="s">
        <v>906</v>
      </c>
      <c r="E5" s="2" t="s">
        <v>16</v>
      </c>
    </row>
    <row r="6" spans="1:5" x14ac:dyDescent="0.25">
      <c r="A6" s="2" t="s">
        <v>907</v>
      </c>
      <c r="B6" s="2" t="s">
        <v>908</v>
      </c>
      <c r="C6" s="2" t="s">
        <v>909</v>
      </c>
      <c r="D6" s="2" t="s">
        <v>910</v>
      </c>
      <c r="E6" s="2" t="s">
        <v>17</v>
      </c>
    </row>
    <row r="7" spans="1:5" x14ac:dyDescent="0.25">
      <c r="A7" s="2" t="s">
        <v>314</v>
      </c>
      <c r="B7" s="2" t="s">
        <v>911</v>
      </c>
      <c r="C7" s="2" t="s">
        <v>912</v>
      </c>
      <c r="D7" s="2" t="s">
        <v>913</v>
      </c>
      <c r="E7" s="2" t="s">
        <v>18</v>
      </c>
    </row>
    <row r="8" spans="1:5" x14ac:dyDescent="0.25">
      <c r="A8" s="2" t="s">
        <v>914</v>
      </c>
      <c r="B8" s="2" t="s">
        <v>915</v>
      </c>
      <c r="C8" s="2" t="s">
        <v>916</v>
      </c>
      <c r="D8" s="2" t="s">
        <v>917</v>
      </c>
      <c r="E8" s="2" t="s">
        <v>19</v>
      </c>
    </row>
    <row r="9" spans="1:5" ht="30" x14ac:dyDescent="0.25">
      <c r="A9" s="2" t="s">
        <v>429</v>
      </c>
      <c r="B9" s="2" t="s">
        <v>918</v>
      </c>
      <c r="C9" s="2" t="s">
        <v>919</v>
      </c>
      <c r="D9" s="2" t="s">
        <v>920</v>
      </c>
      <c r="E9" s="2" t="s">
        <v>20</v>
      </c>
    </row>
    <row r="10" spans="1:5" x14ac:dyDescent="0.25">
      <c r="A10" s="2" t="s">
        <v>921</v>
      </c>
      <c r="B10" s="2" t="s">
        <v>922</v>
      </c>
      <c r="C10" s="2" t="s">
        <v>923</v>
      </c>
      <c r="D10" s="2" t="s">
        <v>924</v>
      </c>
      <c r="E10" s="2" t="s">
        <v>21</v>
      </c>
    </row>
    <row r="11" spans="1:5" x14ac:dyDescent="0.25">
      <c r="A11" s="2" t="s">
        <v>522</v>
      </c>
      <c r="B11" s="2" t="s">
        <v>925</v>
      </c>
      <c r="C11" s="2" t="s">
        <v>926</v>
      </c>
      <c r="D11" s="2" t="s">
        <v>927</v>
      </c>
      <c r="E11" s="2" t="s">
        <v>22</v>
      </c>
    </row>
    <row r="12" spans="1:5" x14ac:dyDescent="0.25">
      <c r="A12" s="2" t="s">
        <v>928</v>
      </c>
      <c r="B12" s="2" t="s">
        <v>929</v>
      </c>
      <c r="C12" s="2" t="s">
        <v>930</v>
      </c>
      <c r="D12" s="2" t="s">
        <v>931</v>
      </c>
      <c r="E12" s="2" t="s">
        <v>23</v>
      </c>
    </row>
    <row r="13" spans="1:5" x14ac:dyDescent="0.25">
      <c r="A13" s="2" t="s">
        <v>932</v>
      </c>
      <c r="B13" s="2" t="s">
        <v>933</v>
      </c>
      <c r="C13" s="2" t="s">
        <v>934</v>
      </c>
      <c r="D13" s="2" t="s">
        <v>935</v>
      </c>
      <c r="E13" s="2" t="s">
        <v>24</v>
      </c>
    </row>
    <row r="14" spans="1:5" x14ac:dyDescent="0.25">
      <c r="A14" s="2" t="s">
        <v>936</v>
      </c>
      <c r="B14" s="2" t="s">
        <v>937</v>
      </c>
      <c r="C14" s="2" t="s">
        <v>938</v>
      </c>
      <c r="D14" s="2" t="s">
        <v>939</v>
      </c>
      <c r="E14" s="2" t="s">
        <v>25</v>
      </c>
    </row>
    <row r="15" spans="1:5" x14ac:dyDescent="0.25">
      <c r="A15" s="2" t="s">
        <v>940</v>
      </c>
      <c r="B15" s="2" t="s">
        <v>941</v>
      </c>
      <c r="C15" s="2" t="s">
        <v>942</v>
      </c>
      <c r="D15" s="2" t="s">
        <v>943</v>
      </c>
      <c r="E15" s="2" t="s">
        <v>26</v>
      </c>
    </row>
    <row r="16" spans="1:5" x14ac:dyDescent="0.25">
      <c r="A16" s="2" t="s">
        <v>944</v>
      </c>
      <c r="B16" s="2" t="s">
        <v>945</v>
      </c>
      <c r="C16" s="2" t="s">
        <v>946</v>
      </c>
      <c r="D16" s="2" t="s">
        <v>947</v>
      </c>
      <c r="E16" s="2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/>
  </sheetViews>
  <sheetFormatPr defaultRowHeight="15" x14ac:dyDescent="0.25"/>
  <cols>
    <col min="1" max="1" width="12" customWidth="1"/>
    <col min="2" max="2" width="58" customWidth="1"/>
    <col min="3" max="3" width="16" customWidth="1"/>
    <col min="4" max="4" width="55" customWidth="1"/>
    <col min="5" max="5" width="65" customWidth="1"/>
  </cols>
  <sheetData>
    <row r="1" spans="1:5" x14ac:dyDescent="0.25">
      <c r="A1" s="6" t="s">
        <v>948</v>
      </c>
      <c r="B1" s="6" t="s">
        <v>949</v>
      </c>
      <c r="C1" s="6" t="s">
        <v>39</v>
      </c>
      <c r="D1" s="6" t="s">
        <v>950</v>
      </c>
      <c r="E1" s="6" t="s">
        <v>951</v>
      </c>
    </row>
    <row r="2" spans="1:5" x14ac:dyDescent="0.25">
      <c r="A2">
        <v>1</v>
      </c>
      <c r="B2" t="s">
        <v>952</v>
      </c>
      <c r="C2" t="s">
        <v>54</v>
      </c>
    </row>
    <row r="3" spans="1:5" x14ac:dyDescent="0.25">
      <c r="A3">
        <v>2</v>
      </c>
      <c r="B3" t="s">
        <v>953</v>
      </c>
      <c r="C3" t="s">
        <v>54</v>
      </c>
    </row>
    <row r="4" spans="1:5" x14ac:dyDescent="0.25">
      <c r="A4">
        <v>3</v>
      </c>
      <c r="B4" t="s">
        <v>954</v>
      </c>
      <c r="C4" t="s">
        <v>54</v>
      </c>
    </row>
    <row r="5" spans="1:5" x14ac:dyDescent="0.25">
      <c r="A5">
        <v>4</v>
      </c>
      <c r="B5" t="s">
        <v>955</v>
      </c>
      <c r="C5" t="s">
        <v>54</v>
      </c>
    </row>
    <row r="6" spans="1:5" x14ac:dyDescent="0.25">
      <c r="A6">
        <v>5</v>
      </c>
      <c r="B6" t="s">
        <v>956</v>
      </c>
      <c r="C6" t="s">
        <v>54</v>
      </c>
    </row>
    <row r="7" spans="1:5" x14ac:dyDescent="0.25">
      <c r="A7">
        <v>6</v>
      </c>
      <c r="B7" t="s">
        <v>957</v>
      </c>
      <c r="C7" t="s">
        <v>54</v>
      </c>
    </row>
    <row r="8" spans="1:5" x14ac:dyDescent="0.25">
      <c r="A8">
        <v>7</v>
      </c>
      <c r="B8" t="s">
        <v>958</v>
      </c>
      <c r="C8" t="s">
        <v>54</v>
      </c>
    </row>
    <row r="9" spans="1:5" x14ac:dyDescent="0.25">
      <c r="A9">
        <v>8</v>
      </c>
      <c r="B9" t="s">
        <v>959</v>
      </c>
      <c r="C9" t="s">
        <v>54</v>
      </c>
    </row>
    <row r="10" spans="1:5" x14ac:dyDescent="0.25">
      <c r="A10">
        <v>9</v>
      </c>
      <c r="B10" t="s">
        <v>960</v>
      </c>
      <c r="C10" t="s">
        <v>54</v>
      </c>
    </row>
    <row r="11" spans="1:5" x14ac:dyDescent="0.25">
      <c r="A11">
        <v>10</v>
      </c>
      <c r="B11" t="s">
        <v>961</v>
      </c>
      <c r="C11" t="s">
        <v>54</v>
      </c>
    </row>
    <row r="12" spans="1:5" x14ac:dyDescent="0.25">
      <c r="A12">
        <v>11</v>
      </c>
      <c r="B12" t="s">
        <v>962</v>
      </c>
      <c r="C12" t="s">
        <v>54</v>
      </c>
    </row>
    <row r="13" spans="1:5" x14ac:dyDescent="0.25">
      <c r="A13">
        <v>12</v>
      </c>
      <c r="B13" t="s">
        <v>963</v>
      </c>
      <c r="C13" t="s">
        <v>54</v>
      </c>
    </row>
    <row r="14" spans="1:5" x14ac:dyDescent="0.25">
      <c r="A14">
        <v>13</v>
      </c>
      <c r="B14" t="s">
        <v>964</v>
      </c>
      <c r="C14" t="s">
        <v>54</v>
      </c>
    </row>
    <row r="15" spans="1:5" x14ac:dyDescent="0.25">
      <c r="A15">
        <v>14</v>
      </c>
      <c r="B15" t="s">
        <v>965</v>
      </c>
      <c r="C15" t="s">
        <v>54</v>
      </c>
    </row>
    <row r="16" spans="1:5" x14ac:dyDescent="0.25">
      <c r="A16">
        <v>15</v>
      </c>
      <c r="B16" t="s">
        <v>966</v>
      </c>
      <c r="C16" t="s">
        <v>54</v>
      </c>
    </row>
  </sheetData>
  <dataValidations count="1">
    <dataValidation type="list" sqref="C2:C16" xr:uid="{00000000-0002-0000-0400-000000000000}">
      <formula1>"Not Started,In Progress,Done,Review,Blocked"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defaultRowHeight="15" x14ac:dyDescent="0.25"/>
  <cols>
    <col min="1" max="1" width="25" customWidth="1"/>
    <col min="2" max="5" width="28" customWidth="1"/>
  </cols>
  <sheetData>
    <row r="1" spans="1:5" ht="26.25" x14ac:dyDescent="0.4">
      <c r="A1" s="8" t="s">
        <v>967</v>
      </c>
      <c r="B1" s="9"/>
      <c r="C1" s="9"/>
      <c r="D1" s="9"/>
      <c r="E1" s="9"/>
    </row>
    <row r="3" spans="1:5" x14ac:dyDescent="0.25">
      <c r="A3" s="3" t="s">
        <v>968</v>
      </c>
      <c r="B3" s="10" t="s">
        <v>969</v>
      </c>
      <c r="C3" s="9"/>
      <c r="D3" s="9"/>
      <c r="E3" s="9"/>
    </row>
    <row r="4" spans="1:5" x14ac:dyDescent="0.25">
      <c r="A4" s="3" t="s">
        <v>970</v>
      </c>
      <c r="B4" s="10" t="s">
        <v>971</v>
      </c>
      <c r="C4" s="9"/>
      <c r="D4" s="9"/>
      <c r="E4" s="9"/>
    </row>
    <row r="5" spans="1:5" x14ac:dyDescent="0.25">
      <c r="A5" s="3" t="s">
        <v>972</v>
      </c>
      <c r="B5" s="10" t="s">
        <v>973</v>
      </c>
      <c r="C5" s="9"/>
      <c r="D5" s="9"/>
      <c r="E5" s="9"/>
    </row>
    <row r="6" spans="1:5" x14ac:dyDescent="0.25">
      <c r="A6" s="3" t="s">
        <v>974</v>
      </c>
      <c r="B6" s="10" t="s">
        <v>975</v>
      </c>
      <c r="C6" s="9"/>
      <c r="D6" s="9"/>
      <c r="E6" s="9"/>
    </row>
    <row r="7" spans="1:5" x14ac:dyDescent="0.25">
      <c r="A7" s="3" t="s">
        <v>976</v>
      </c>
      <c r="B7" s="10" t="s">
        <v>977</v>
      </c>
      <c r="C7" s="9"/>
      <c r="D7" s="9"/>
      <c r="E7" s="9"/>
    </row>
    <row r="8" spans="1:5" x14ac:dyDescent="0.25">
      <c r="A8" s="3" t="s">
        <v>978</v>
      </c>
      <c r="B8" s="10" t="s">
        <v>979</v>
      </c>
      <c r="C8" s="9"/>
      <c r="D8" s="9"/>
      <c r="E8" s="9"/>
    </row>
    <row r="9" spans="1:5" x14ac:dyDescent="0.25">
      <c r="A9" s="3" t="s">
        <v>980</v>
      </c>
      <c r="B9" s="10" t="s">
        <v>981</v>
      </c>
      <c r="C9" s="9"/>
      <c r="D9" s="9"/>
      <c r="E9" s="9"/>
    </row>
    <row r="10" spans="1:5" x14ac:dyDescent="0.25">
      <c r="A10" s="3" t="s">
        <v>982</v>
      </c>
      <c r="B10" s="10" t="s">
        <v>983</v>
      </c>
      <c r="C10" s="9"/>
      <c r="D10" s="9"/>
      <c r="E10" s="9"/>
    </row>
    <row r="11" spans="1:5" x14ac:dyDescent="0.25">
      <c r="A11" s="3" t="s">
        <v>984</v>
      </c>
      <c r="B11" s="10" t="s">
        <v>985</v>
      </c>
      <c r="C11" s="9"/>
      <c r="D11" s="9"/>
      <c r="E11" s="9"/>
    </row>
    <row r="12" spans="1:5" x14ac:dyDescent="0.25">
      <c r="A12" s="3" t="s">
        <v>986</v>
      </c>
      <c r="B12" s="10" t="s">
        <v>987</v>
      </c>
      <c r="C12" s="9"/>
      <c r="D12" s="9"/>
      <c r="E12" s="9"/>
    </row>
    <row r="13" spans="1:5" x14ac:dyDescent="0.25">
      <c r="A13" s="3" t="s">
        <v>988</v>
      </c>
      <c r="B13" s="10" t="s">
        <v>989</v>
      </c>
      <c r="C13" s="9"/>
      <c r="D13" s="9"/>
      <c r="E13" s="9"/>
    </row>
    <row r="16" spans="1:5" x14ac:dyDescent="0.25">
      <c r="A16" s="7" t="s">
        <v>990</v>
      </c>
      <c r="B16" s="11" t="s">
        <v>991</v>
      </c>
      <c r="C16" s="9"/>
      <c r="D16" s="9"/>
      <c r="E16" s="9"/>
    </row>
    <row r="17" spans="2:5" x14ac:dyDescent="0.25">
      <c r="B17" s="9"/>
      <c r="C17" s="9"/>
      <c r="D17" s="9"/>
      <c r="E17" s="9"/>
    </row>
    <row r="18" spans="2:5" x14ac:dyDescent="0.25">
      <c r="B18" s="9"/>
      <c r="C18" s="9"/>
      <c r="D18" s="9"/>
      <c r="E18" s="9"/>
    </row>
  </sheetData>
  <mergeCells count="13">
    <mergeCell ref="A1:E1"/>
    <mergeCell ref="B11:E11"/>
    <mergeCell ref="B3:E3"/>
    <mergeCell ref="B5:E5"/>
    <mergeCell ref="B16:E18"/>
    <mergeCell ref="B10:E10"/>
    <mergeCell ref="B9:E9"/>
    <mergeCell ref="B8:E8"/>
    <mergeCell ref="B4:E4"/>
    <mergeCell ref="B12:E12"/>
    <mergeCell ref="B13:E13"/>
    <mergeCell ref="B6:E6"/>
    <mergeCell ref="B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"/>
  <sheetViews>
    <sheetView workbookViewId="0"/>
  </sheetViews>
  <sheetFormatPr defaultRowHeight="15" x14ac:dyDescent="0.25"/>
  <cols>
    <col min="1" max="1" width="10" customWidth="1"/>
    <col min="2" max="2" width="25" customWidth="1"/>
    <col min="3" max="3" width="28" customWidth="1"/>
    <col min="4" max="4" width="50" customWidth="1"/>
    <col min="5" max="5" width="45" customWidth="1"/>
  </cols>
  <sheetData>
    <row r="1" spans="1:5" x14ac:dyDescent="0.25">
      <c r="A1" s="6" t="s">
        <v>992</v>
      </c>
      <c r="B1" s="6" t="s">
        <v>993</v>
      </c>
      <c r="C1" s="6" t="s">
        <v>994</v>
      </c>
      <c r="D1" s="6" t="s">
        <v>854</v>
      </c>
      <c r="E1" s="6" t="s">
        <v>995</v>
      </c>
    </row>
    <row r="2" spans="1:5" x14ac:dyDescent="0.25">
      <c r="A2" s="2">
        <v>1</v>
      </c>
      <c r="B2" s="2" t="s">
        <v>996</v>
      </c>
      <c r="C2" s="2" t="s">
        <v>997</v>
      </c>
      <c r="D2" s="2" t="s">
        <v>998</v>
      </c>
      <c r="E2" s="2" t="s">
        <v>999</v>
      </c>
    </row>
    <row r="3" spans="1:5" x14ac:dyDescent="0.25">
      <c r="A3" s="2">
        <v>2</v>
      </c>
      <c r="B3" s="2" t="s">
        <v>1000</v>
      </c>
      <c r="C3" s="2" t="s">
        <v>1001</v>
      </c>
      <c r="D3" s="2" t="s">
        <v>1002</v>
      </c>
      <c r="E3" s="2" t="s">
        <v>1003</v>
      </c>
    </row>
    <row r="4" spans="1:5" x14ac:dyDescent="0.25">
      <c r="A4" s="2">
        <v>3</v>
      </c>
      <c r="B4" s="2" t="s">
        <v>119</v>
      </c>
      <c r="C4" s="2" t="s">
        <v>1004</v>
      </c>
      <c r="D4" s="2" t="s">
        <v>1005</v>
      </c>
      <c r="E4" s="2" t="s">
        <v>1006</v>
      </c>
    </row>
    <row r="5" spans="1:5" x14ac:dyDescent="0.25">
      <c r="A5" s="2">
        <v>4</v>
      </c>
      <c r="B5" s="2" t="s">
        <v>1007</v>
      </c>
      <c r="C5" s="2" t="s">
        <v>1008</v>
      </c>
      <c r="D5" s="2" t="s">
        <v>1009</v>
      </c>
      <c r="E5" s="2" t="s">
        <v>1010</v>
      </c>
    </row>
    <row r="6" spans="1:5" x14ac:dyDescent="0.25">
      <c r="A6" s="2">
        <v>5</v>
      </c>
      <c r="B6" s="2" t="s">
        <v>1011</v>
      </c>
      <c r="C6" s="2" t="s">
        <v>1012</v>
      </c>
      <c r="D6" s="2" t="s">
        <v>1013</v>
      </c>
      <c r="E6" s="2" t="s">
        <v>1014</v>
      </c>
    </row>
    <row r="7" spans="1:5" x14ac:dyDescent="0.25">
      <c r="A7" s="2">
        <v>6</v>
      </c>
      <c r="B7" s="2" t="s">
        <v>1015</v>
      </c>
      <c r="C7" s="2" t="s">
        <v>1016</v>
      </c>
      <c r="D7" s="2" t="s">
        <v>1017</v>
      </c>
      <c r="E7" s="2" t="s">
        <v>1018</v>
      </c>
    </row>
    <row r="8" spans="1:5" x14ac:dyDescent="0.25">
      <c r="A8" s="2">
        <v>7</v>
      </c>
      <c r="B8" s="2" t="s">
        <v>1019</v>
      </c>
      <c r="C8" s="2" t="s">
        <v>1020</v>
      </c>
      <c r="D8" s="2" t="s">
        <v>1021</v>
      </c>
      <c r="E8" s="2" t="s">
        <v>1022</v>
      </c>
    </row>
    <row r="9" spans="1:5" x14ac:dyDescent="0.25">
      <c r="A9" s="2">
        <v>8</v>
      </c>
      <c r="B9" s="2" t="s">
        <v>1023</v>
      </c>
      <c r="C9" s="2" t="s">
        <v>1024</v>
      </c>
      <c r="D9" s="2" t="s">
        <v>1025</v>
      </c>
      <c r="E9" s="2" t="s">
        <v>1026</v>
      </c>
    </row>
    <row r="10" spans="1:5" x14ac:dyDescent="0.25">
      <c r="A10" s="2">
        <v>9</v>
      </c>
      <c r="B10" s="2" t="s">
        <v>914</v>
      </c>
      <c r="C10" s="2" t="s">
        <v>1027</v>
      </c>
      <c r="D10" s="2" t="s">
        <v>1028</v>
      </c>
      <c r="E10" s="2" t="s">
        <v>1029</v>
      </c>
    </row>
    <row r="11" spans="1:5" x14ac:dyDescent="0.25">
      <c r="A11" s="2">
        <v>10</v>
      </c>
      <c r="B11" s="2" t="s">
        <v>429</v>
      </c>
      <c r="C11" s="2" t="s">
        <v>1030</v>
      </c>
      <c r="D11" s="2" t="s">
        <v>1031</v>
      </c>
      <c r="E11" s="2" t="s">
        <v>1032</v>
      </c>
    </row>
    <row r="12" spans="1:5" x14ac:dyDescent="0.25">
      <c r="A12" s="2">
        <v>11</v>
      </c>
      <c r="B12" s="2" t="s">
        <v>921</v>
      </c>
      <c r="C12" s="2" t="s">
        <v>1033</v>
      </c>
      <c r="D12" s="2" t="s">
        <v>1034</v>
      </c>
      <c r="E12" s="2" t="s">
        <v>1035</v>
      </c>
    </row>
    <row r="13" spans="1:5" x14ac:dyDescent="0.25">
      <c r="A13" s="2">
        <v>12</v>
      </c>
      <c r="B13" s="2" t="s">
        <v>522</v>
      </c>
      <c r="C13" s="2" t="s">
        <v>1036</v>
      </c>
      <c r="D13" s="2" t="s">
        <v>1037</v>
      </c>
      <c r="E13" s="2" t="s">
        <v>1038</v>
      </c>
    </row>
    <row r="14" spans="1:5" x14ac:dyDescent="0.25">
      <c r="A14" s="2">
        <v>13</v>
      </c>
      <c r="B14" s="2" t="s">
        <v>928</v>
      </c>
      <c r="C14" s="2" t="s">
        <v>1039</v>
      </c>
      <c r="D14" s="2" t="s">
        <v>1040</v>
      </c>
      <c r="E14" s="2" t="s">
        <v>1041</v>
      </c>
    </row>
    <row r="15" spans="1:5" x14ac:dyDescent="0.25">
      <c r="A15" s="2">
        <v>14</v>
      </c>
      <c r="B15" s="2" t="s">
        <v>932</v>
      </c>
      <c r="C15" s="2" t="s">
        <v>1042</v>
      </c>
      <c r="D15" s="2" t="s">
        <v>1043</v>
      </c>
      <c r="E15" s="2" t="s">
        <v>1044</v>
      </c>
    </row>
    <row r="16" spans="1:5" x14ac:dyDescent="0.25">
      <c r="A16" s="2">
        <v>15</v>
      </c>
      <c r="B16" s="2" t="s">
        <v>936</v>
      </c>
      <c r="C16" s="2" t="s">
        <v>1045</v>
      </c>
      <c r="D16" s="2" t="s">
        <v>1046</v>
      </c>
      <c r="E16" s="2" t="s">
        <v>936</v>
      </c>
    </row>
    <row r="17" spans="1:5" x14ac:dyDescent="0.25">
      <c r="A17" s="2">
        <v>16</v>
      </c>
      <c r="B17" s="2" t="s">
        <v>1047</v>
      </c>
      <c r="C17" s="2" t="s">
        <v>1048</v>
      </c>
      <c r="D17" s="2" t="s">
        <v>1049</v>
      </c>
      <c r="E17" s="2" t="s">
        <v>1044</v>
      </c>
    </row>
    <row r="18" spans="1:5" x14ac:dyDescent="0.25">
      <c r="A18" s="2">
        <v>17</v>
      </c>
      <c r="B18" s="2" t="s">
        <v>759</v>
      </c>
      <c r="C18" s="2" t="s">
        <v>1050</v>
      </c>
      <c r="D18" s="2" t="s">
        <v>1051</v>
      </c>
      <c r="E18" s="2" t="s">
        <v>1052</v>
      </c>
    </row>
    <row r="19" spans="1:5" x14ac:dyDescent="0.25">
      <c r="A19" s="2">
        <v>18</v>
      </c>
      <c r="B19" s="2" t="s">
        <v>1053</v>
      </c>
      <c r="C19" s="2" t="s">
        <v>1054</v>
      </c>
      <c r="D19" s="2" t="s">
        <v>1055</v>
      </c>
      <c r="E19" s="2" t="s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Course Roadmap</vt:lpstr>
      <vt:lpstr>Dashboard</vt:lpstr>
      <vt:lpstr>Prompt Bank</vt:lpstr>
      <vt:lpstr>Interview Matrix</vt:lpstr>
      <vt:lpstr>Capstone</vt:lpstr>
      <vt:lpstr>Final Outcome</vt:lpstr>
      <vt:lpstr>18 Week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SHEKHAR KUMAR</cp:lastModifiedBy>
  <dcterms:created xsi:type="dcterms:W3CDTF">2026-08-21T09:47:27Z</dcterms:created>
  <dcterms:modified xsi:type="dcterms:W3CDTF">2026-08-21T10:00:48Z</dcterms:modified>
</cp:coreProperties>
</file>